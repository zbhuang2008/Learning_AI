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aibyhand-my.sharepoint.com/personal/tom_aibyhand_onmicrosoft_com/Documents/2025/Academy/Seminars/2026/2026.1.29 - AI Eval Math/"/>
    </mc:Choice>
  </mc:AlternateContent>
  <xr:revisionPtr revIDLastSave="0" documentId="8_{8A132451-4E9B-4BE9-B41E-39A9F36F6B34}" xr6:coauthVersionLast="47" xr6:coauthVersionMax="47" xr10:uidLastSave="{00000000-0000-0000-0000-000000000000}"/>
  <bookViews>
    <workbookView xWindow="4400" yWindow="2640" windowWidth="21800" windowHeight="14600" firstSheet="1" activeTab="1" xr2:uid="{85B75BF7-9DCE-CD47-AF81-E7148A105438}"/>
  </bookViews>
  <sheets>
    <sheet name="AI Eval Math" sheetId="16" r:id="rId1"/>
    <sheet name="LICENSE" sheetId="17" r:id="rId2"/>
  </sheets>
  <definedNames>
    <definedName name="_PAD" localSheetId="1">_xlfn.LAMBDA(_xlpm.image,_xlpm.pad_width,_xlpm.pad_value, _xlfn.LET(_xlpm.o, _xlpm.image, _xlpm.h, ROWS(_xlpm.o), _xlpm.w, COLUMNS(_xlpm.o), _xlpm.pw, _xlpm.pad_width, _xlpm.pv, _xlpm.pad_value,  _xlpm.left, _xlfn.SEQUENCE(_xlpm.h,_xlpm.pw,_xlpm.pv,0), _xlpm.right, _xlpm.left,  _xlpm.top, _xlfn.SEQUENCE(_xlpm.pw,_xlpm.w+_xlpm.pw, _xlpm.pv,0), _xlpm.bottom, _xlpm.top,  _xlpm.a, _xlfn.HSTACK(_xlpm.o, _xlpm.right),  _xlpm.b, _xlfn.VSTACK(_xlpm.a,_xlpm.bottom),  _xlpm.b))</definedName>
    <definedName name="_PAD">_xlfn.LAMBDA(_xlpm.image,_xlpm.pad_width,_xlpm.pad_value, _xlfn.LET(_xlpm.o, _xlpm.image, _xlpm.h, ROWS(_xlpm.o), _xlpm.w, COLUMNS(_xlpm.o), _xlpm.pw, _xlpm.pad_width, _xlpm.pv, _xlpm.pad_value,  _xlpm.left, _xlfn.SEQUENCE(_xlpm.h,_xlpm.pw,_xlpm.pv,0), _xlpm.right, _xlpm.left,  _xlpm.top, _xlfn.SEQUENCE(_xlpm.pw,_xlpm.w+_xlpm.pw, _xlpm.pv,0), _xlpm.bottom, _xlpm.top,  _xlpm.a, _xlfn.HSTACK(_xlpm.o, _xlpm.right),  _xlpm.b, _xlfn.VSTACK(_xlpm.a,_xlpm.bottom),  _xlpm.b))</definedName>
    <definedName name="FXY">_xlfn.LAMBDA(_xlpm.f,_xlpm.d, _xlfn.MAKEARRAY(_xlpm.d*2+1,_xlpm.d*2+1,_xlfn.LAMBDA(_xlpm.y,_xlpm.x,_xlpm.f(_xlpm.x-_xlpm.d-1,_xlpm.y-_xlpm.d-1))))</definedName>
    <definedName name="IM2COL" localSheetId="1">_xlfn.LAMBDA(_xlpm.image,_xlpm.filter_size,_xlpm.stride,_xlpm.pad,_xlpm.pad_value, _xlfn.LET(_xlpm.o, IF(_xlpm.pad&gt;0, LICENSE!_PAD(_xlpm.image, _xlpm.pad, _xlpm.pad_value), _xlpm.image),  _xlpm.d, _xlpm.filter_size,  _xlpm.s, _xlpm.stride, _xlpm.h, ROWS(_xlpm.o),  _xlpm.w, COLUMNS(_xlpm.o), _xlpm.hs, _xlfn.FLOOR.MATH((_xlpm.h-_xlpm.d)/_xlpm.s+1), _xlpm.ws, _xlfn.FLOOR.MATH((_xlpm.w-_xlpm.d)/_xlpm.s+1),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INDEX(_xlpm.o,_xlpm.r,_xlpm.c))))))</definedName>
    <definedName name="IM2COL">_xlfn.LAMBDA(_xlpm.image,_xlpm.filter_size,_xlpm.stride,_xlpm.pad,_xlpm.pad_value, _xlfn.LET(_xlpm.o, IF(_xlpm.pad&gt;0, _PAD(_xlpm.image, _xlpm.pad, _xlpm.pad_value), _xlpm.image),  _xlpm.d, _xlpm.filter_size,  _xlpm.s, _xlpm.stride, _xlpm.h, ROWS(_xlpm.o),  _xlpm.w, COLUMNS(_xlpm.o), _xlpm.hs, _xlfn.FLOOR.MATH((_xlpm.h-_xlpm.d)/_xlpm.s+1), _xlpm.ws, _xlfn.FLOOR.MATH((_xlpm.w-_xlpm.d)/_xlpm.s+1),  _xlpm.is, _xlfn.TOROW(_xlfn.MAKEARRAY(_xlpm.hs,_xlpm.ws, _xlfn.LAMBDA(_xlpm.y,_xlpm.x,_xlpm.s*(_xlpm.y-1)))),  _xlpm.js, _xlfn.TOROW(_xlfn.MAKEARRAY(_xlpm.hs,_xlpm.ws, _xlfn.LAMBDA(_xlpm.y,_xlpm.x,_xlpm.s*(_xlpm.x-1)))),  _xlpm.us, _xlfn.TOROW(_xlfn.MAKEARRAY(_xlpm.d,_xlpm.d, _xlfn.LAMBDA(_xlpm.y,_xlpm.x,_xlpm.y-1))),  _xlpm.vs, _xlfn.TOROW(_xlfn.MAKEARRAY(_xlpm.d,_xlpm.d, _xlfn.LAMBDA(_xlpm.y,_xlpm.x,_xlpm.x-1))),  _xlfn.MAKEARRAY(_xlpm.d*_xlpm.d, _xlpm.hs*_xlpm.ws, _xlfn.LAMBDA(_xlpm.k,_xlpm.p,  _xlfn.LET(  _xlpm.i,INDEX(_xlpm.is, _xlpm.p), _xlpm.j, INDEX(_xlpm.js, _xlpm.p),  _xlpm.u,INDEX(_xlpm.us, _xlpm.k), _xlpm.v,INDEX(_xlpm.vs, _xlpm.k),  _xlpm.r, 1+_xlpm.i+_xlpm.u, _xlpm.c, 1+_xlpm.j+_xlpm.v,  INDEX(_xlpm.o,_xlpm.r,_xlpm.c))))))</definedName>
    <definedName name="SOFTMAX">_xlfn.LAMBDA(_xlpm.x, _xlfn.LET(_xlpm.s,  SUM(EXP(_xlpm.x)), EXP(_xlpm.x) / _xlpm.s))</definedName>
    <definedName name="SXY">_xlfn.LAMBDA(_xlpm.a,_xlpm.symbols,_xlpm.d, _xlfn.LET( _xlpm.is, _xlfn.SEQUENCE(COLUMNS(_xlpm.a)), _xlpm.N, 2*_xlpm.d+1, _xlfn.REDUCE("",_xlpm.is, _xlfn.LAMBDA(_xlpm.v,_xlpm.i, _xlfn.LET(_xlpm.xi, INDEX(_xlpm.a,1,_xlpm.i),_xlpm.yi,INDEX(_xlpm.a,2,_xlpm.i),_xlpm.s,INDEX(_xlpm.symbols,1,_xlpm.i), _xlpm.m, _xlfn.MAKEARRAY(_xlpm.N,_xlpm.N,_xlfn.LAMBDA(_xlpm.y,_xlpm.x,IF(AND(_xlpm.xi+1=_xlpm.x-_xlpm.d,_xlpm.yi=(_xlpm.N-_xlpm.y-_xlpm.d)),_xlpm.s,""))), _xlpm.v &amp; _xlpm.m)))))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4" i="16" l="1"/>
  <c r="F263" i="16" a="1"/>
  <c r="F263" i="16" s="1"/>
  <c r="AI219" i="16" a="1"/>
  <c r="AI219" i="16" s="1"/>
  <c r="AG219" i="16" a="1"/>
  <c r="AG219" i="16" s="1"/>
  <c r="AE219" i="16" a="1"/>
  <c r="AE219" i="16" s="1"/>
  <c r="E219" i="16" a="1"/>
  <c r="E219" i="16" s="1"/>
  <c r="E193" i="16" a="1"/>
  <c r="E193" i="16" s="1"/>
  <c r="R138" i="16"/>
  <c r="P138" i="16" a="1"/>
  <c r="P138" i="16" s="1"/>
  <c r="N138" i="16" a="1"/>
  <c r="N138" i="16" s="1"/>
  <c r="K138" i="16" a="1"/>
  <c r="K138" i="16" s="1"/>
  <c r="F138" i="16" a="1"/>
  <c r="F138" i="16" s="1"/>
  <c r="AJ107" i="16"/>
  <c r="D90" i="16" a="1"/>
  <c r="D90" i="16" s="1"/>
  <c r="S79" i="16"/>
  <c r="I79" i="16"/>
  <c r="I77" i="16"/>
  <c r="I329" i="16" a="1"/>
  <c r="N331" i="16" s="1" a="1"/>
  <c r="N331" i="16" s="1"/>
  <c r="S319" i="16" a="1"/>
  <c r="T324" i="16" s="1" a="1"/>
  <c r="T324" i="16" s="1"/>
  <c r="I315" i="16" a="1"/>
  <c r="I315" i="16" s="1"/>
  <c r="C315" i="16" a="1"/>
  <c r="C315" i="16" s="1"/>
  <c r="A312" i="16"/>
  <c r="AK281" i="16" a="1"/>
  <c r="AK281" i="16" s="1"/>
  <c r="AJ288" i="16" s="1" a="1"/>
  <c r="AJ288" i="16" s="1"/>
  <c r="AG281" i="16" a="1"/>
  <c r="AG281" i="16" s="1"/>
  <c r="AI289" i="16" s="1" a="1"/>
  <c r="AI289" i="16" s="1"/>
  <c r="AA281" i="16" a="1"/>
  <c r="AA281" i="16" s="1"/>
  <c r="Z288" i="16" s="1" a="1"/>
  <c r="Z288" i="16" s="1"/>
  <c r="W281" i="16" a="1"/>
  <c r="W281" i="16" s="1"/>
  <c r="Y289" i="16" s="1" a="1"/>
  <c r="Y289" i="16" s="1"/>
  <c r="R281" i="16" a="1"/>
  <c r="R281" i="16" s="1"/>
  <c r="P288" i="16" s="1" a="1"/>
  <c r="P288" i="16" s="1"/>
  <c r="M281" i="16"/>
  <c r="O289" i="16" s="1" a="1"/>
  <c r="O289" i="16" s="1"/>
  <c r="M281" i="16" a="1"/>
  <c r="H281" i="16" a="1"/>
  <c r="H281" i="16" s="1"/>
  <c r="F288" i="16" s="1" a="1"/>
  <c r="F288" i="16" s="1"/>
  <c r="C281" i="16"/>
  <c r="E289" i="16" s="1" a="1"/>
  <c r="E289" i="16" s="1"/>
  <c r="AA307" i="16" s="1"/>
  <c r="C281" i="16" a="1"/>
  <c r="A273" i="16"/>
  <c r="I253" i="16" a="1"/>
  <c r="I253" i="16" s="1"/>
  <c r="F262" i="16" s="1" a="1"/>
  <c r="F262" i="16" s="1"/>
  <c r="C253" i="16"/>
  <c r="E263" i="16" s="1" a="1"/>
  <c r="E263" i="16" s="1"/>
  <c r="C253" i="16" a="1"/>
  <c r="A246" i="16"/>
  <c r="E210" i="16" a="1"/>
  <c r="E210" i="16" s="1"/>
  <c r="Z208" i="16"/>
  <c r="AC219" i="16" s="1"/>
  <c r="AC220" i="16" s="1"/>
  <c r="AC221" i="16" s="1"/>
  <c r="AC222" i="16" s="1"/>
  <c r="AC223" i="16" s="1"/>
  <c r="AC224" i="16" s="1"/>
  <c r="AC225" i="16" s="1"/>
  <c r="AC226" i="16" s="1"/>
  <c r="AC227" i="16" s="1"/>
  <c r="A202" i="16"/>
  <c r="E190" i="16" a="1"/>
  <c r="E190" i="16" s="1"/>
  <c r="E181" i="16" a="1"/>
  <c r="E181" i="16" s="1"/>
  <c r="A178" i="16"/>
  <c r="K153" i="16" a="1"/>
  <c r="K153" i="16" s="1"/>
  <c r="F153" i="16"/>
  <c r="L153" i="16" s="1" a="1"/>
  <c r="L153" i="16" s="1"/>
  <c r="L174" i="16" s="1"/>
  <c r="F153" i="16" a="1"/>
  <c r="W150" i="16"/>
  <c r="K131" i="16" a="1"/>
  <c r="K131" i="16" s="1"/>
  <c r="F131" i="16" a="1"/>
  <c r="F131" i="16" s="1"/>
  <c r="A122" i="16"/>
  <c r="AC107" i="16" a="1"/>
  <c r="AC107" i="16" s="1"/>
  <c r="AB107" i="16" a="1"/>
  <c r="AB107" i="16" s="1"/>
  <c r="AA107" i="16" a="1"/>
  <c r="AA107" i="16" s="1"/>
  <c r="Z107" i="16" a="1"/>
  <c r="Z107" i="16" s="1"/>
  <c r="L107" i="16"/>
  <c r="L107" i="16" a="1"/>
  <c r="K107" i="16" a="1"/>
  <c r="K107" i="16" s="1"/>
  <c r="J107" i="16" a="1"/>
  <c r="J107" i="16" s="1"/>
  <c r="I107" i="16"/>
  <c r="I107" i="16" a="1"/>
  <c r="A99" i="16"/>
  <c r="D84" i="16"/>
  <c r="D84" i="16" a="1"/>
  <c r="L65" i="16" a="1"/>
  <c r="L65" i="16" s="1"/>
  <c r="L77" i="16" s="1"/>
  <c r="L79" i="16" s="1"/>
  <c r="K65" i="16" a="1"/>
  <c r="K65" i="16" s="1"/>
  <c r="K77" i="16" s="1"/>
  <c r="K79" i="16" s="1"/>
  <c r="J65" i="16" a="1"/>
  <c r="J65" i="16" s="1"/>
  <c r="J77" i="16" s="1"/>
  <c r="J79" i="16" s="1"/>
  <c r="I65" i="16" a="1"/>
  <c r="I65" i="16" s="1"/>
  <c r="A62" i="16"/>
  <c r="T48" i="16" a="1"/>
  <c r="T48" i="16" s="1"/>
  <c r="S48" i="16" a="1"/>
  <c r="S48" i="16" s="1"/>
  <c r="R48" i="16" a="1"/>
  <c r="R48" i="16" s="1"/>
  <c r="Q48" i="16" a="1"/>
  <c r="Q48" i="16" s="1"/>
  <c r="M48" i="16" a="1"/>
  <c r="M48" i="16" s="1"/>
  <c r="Y48" i="16" s="1" a="1"/>
  <c r="Y48" i="16" s="1"/>
  <c r="L48" i="16" a="1"/>
  <c r="L48" i="16" s="1"/>
  <c r="X48" i="16" s="1" a="1"/>
  <c r="X48" i="16" s="1"/>
  <c r="K48" i="16" a="1"/>
  <c r="K48" i="16" s="1"/>
  <c r="W48" i="16" s="1" a="1"/>
  <c r="W48" i="16" s="1"/>
  <c r="J48" i="16" a="1"/>
  <c r="J48" i="16" s="1"/>
  <c r="V48" i="16" s="1" a="1"/>
  <c r="V48" i="16" s="1"/>
  <c r="A21" i="16"/>
  <c r="B5" i="16" s="1" a="1"/>
  <c r="C13" i="16" s="1"/>
  <c r="Z219" i="16" l="1" a="1"/>
  <c r="Z219" i="16" s="1"/>
  <c r="AB219" i="16" a="1"/>
  <c r="AB219" i="16" s="1"/>
  <c r="E195" i="16" a="1"/>
  <c r="E195" i="16" s="1"/>
  <c r="N65" i="16" a="1"/>
  <c r="N65" i="16" s="1"/>
  <c r="S65" i="16" s="1" a="1"/>
  <c r="AJ289" i="16" a="1"/>
  <c r="AJ289" i="16" s="1"/>
  <c r="AJ296" i="16" s="1" a="1"/>
  <c r="AJ296" i="16" s="1"/>
  <c r="AJ298" i="16" s="1"/>
  <c r="AJ300" i="16" s="1"/>
  <c r="AJ304" i="16" s="1"/>
  <c r="S319" i="16"/>
  <c r="S324" i="16" s="1" a="1"/>
  <c r="S324" i="16" s="1"/>
  <c r="N107" i="16" a="1"/>
  <c r="N107" i="16" s="1"/>
  <c r="S107" i="16" s="1" a="1"/>
  <c r="S107" i="16" s="1"/>
  <c r="AE107" i="16" s="1" a="1"/>
  <c r="AE107" i="16" s="1"/>
  <c r="P289" i="16" a="1"/>
  <c r="P289" i="16" s="1"/>
  <c r="P296" i="16" s="1" a="1"/>
  <c r="P296" i="16" s="1"/>
  <c r="P298" i="16" s="1" a="1"/>
  <c r="P298" i="16" s="1"/>
  <c r="P300" i="16" s="1"/>
  <c r="P304" i="16" s="1"/>
  <c r="U324" i="16" a="1"/>
  <c r="U324" i="16" s="1"/>
  <c r="AA306" i="16"/>
  <c r="J263" i="16" a="1"/>
  <c r="G153" i="16" a="1"/>
  <c r="G153" i="16" s="1"/>
  <c r="Q153" i="16" s="1" a="1"/>
  <c r="Q153" i="16" s="1"/>
  <c r="U153" i="16" s="1" a="1"/>
  <c r="U153" i="16" s="1"/>
  <c r="W153" i="16" s="1"/>
  <c r="I329" i="16"/>
  <c r="N329" i="16" s="1" a="1"/>
  <c r="N329" i="16" s="1"/>
  <c r="N330" i="16" a="1"/>
  <c r="N330" i="16" s="1"/>
  <c r="Z289" i="16" a="1"/>
  <c r="Z289" i="16" s="1"/>
  <c r="Z296" i="16" s="1" a="1"/>
  <c r="Z296" i="16" s="1"/>
  <c r="Z298" i="16" s="1"/>
  <c r="Z300" i="16" s="1"/>
  <c r="Z304" i="16" s="1"/>
  <c r="N332" i="16" a="1"/>
  <c r="N332" i="16" s="1"/>
  <c r="S329" i="16" s="1" a="1"/>
  <c r="S329" i="16" s="1"/>
  <c r="V79" i="16"/>
  <c r="U79" i="16"/>
  <c r="T79" i="16"/>
  <c r="S65" i="16"/>
  <c r="G174" i="16"/>
  <c r="E87" i="16" a="1"/>
  <c r="E87" i="16" s="1"/>
  <c r="B5" i="16"/>
  <c r="E92" i="16" a="1"/>
  <c r="E92" i="16" s="1"/>
  <c r="AA48" i="16"/>
  <c r="AC48" i="16" s="1"/>
  <c r="AE48" i="16" s="1"/>
  <c r="AG48" i="16" s="1"/>
  <c r="Y308" i="16"/>
  <c r="F289" i="16" a="1"/>
  <c r="F289" i="16" s="1"/>
  <c r="F296" i="16" s="1" a="1"/>
  <c r="F296" i="16" s="1"/>
  <c r="G298" i="16" s="1"/>
  <c r="G300" i="16" s="1"/>
  <c r="C7" i="16"/>
  <c r="C12" i="16"/>
  <c r="C9" i="16"/>
  <c r="C14" i="16"/>
  <c r="C6" i="16"/>
  <c r="C11" i="16"/>
  <c r="C8" i="16"/>
  <c r="C10" i="16"/>
  <c r="D9" i="16" a="1"/>
  <c r="D6" i="16" a="1"/>
  <c r="D11" i="16" a="1"/>
  <c r="D14" i="16" a="1"/>
  <c r="D13" i="16" a="1"/>
  <c r="D7" i="16" a="1"/>
  <c r="D12" i="16" a="1"/>
  <c r="D8" i="16" a="1"/>
  <c r="D10" i="16" a="1"/>
  <c r="J263" i="16" l="1"/>
  <c r="N262" i="16" s="1"/>
  <c r="N264" i="16"/>
  <c r="E197" i="16"/>
  <c r="E199" i="16" s="1"/>
  <c r="G306" i="16"/>
  <c r="G308" i="16" s="1"/>
  <c r="D7" i="16"/>
  <c r="D12" i="16"/>
  <c r="D6" i="16"/>
  <c r="D11" i="16"/>
  <c r="D8" i="16"/>
  <c r="D9" i="16"/>
  <c r="D10" i="16"/>
  <c r="D13" i="16"/>
  <c r="D14" i="16"/>
  <c r="C5" i="16"/>
  <c r="S334" i="16" a="1"/>
  <c r="S334" i="16" s="1"/>
  <c r="S336" i="16" s="1"/>
  <c r="W329" i="16" a="1"/>
  <c r="W329" i="16" s="1"/>
  <c r="Y329" i="16" s="1"/>
  <c r="AE308" i="16"/>
  <c r="D5" i="16" a="1"/>
  <c r="L263" i="16" l="1"/>
  <c r="D5" i="16"/>
  <c r="AB337" i="16"/>
  <c r="AB335" i="16"/>
  <c r="Y336" i="1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<sst xmlns="http://schemas.openxmlformats.org/spreadsheetml/2006/main" count="339" uniqueCount="176">
  <si>
    <t>AI Eval Math</t>
  </si>
  <si>
    <t>Foundation AI Seminar by Prof. Tom Yeh</t>
  </si>
  <si>
    <t>Table of Content</t>
  </si>
  <si>
    <t># Perplexity (PPL)</t>
  </si>
  <si>
    <t>n</t>
  </si>
  <si>
    <t>Word ID</t>
  </si>
  <si>
    <t>↓</t>
  </si>
  <si>
    <t>Embedding Model</t>
  </si>
  <si>
    <t>Transformer Decoder</t>
  </si>
  <si>
    <t>Linear</t>
  </si>
  <si>
    <t>Ground Truth</t>
  </si>
  <si>
    <t>Softmax</t>
  </si>
  <si>
    <t>k</t>
  </si>
  <si>
    <t>logits (z)</t>
  </si>
  <si>
    <t>→</t>
  </si>
  <si>
    <t>probabilities (y)</t>
  </si>
  <si>
    <t>p(xi)</t>
  </si>
  <si>
    <t>sum()</t>
  </si>
  <si>
    <t>./N</t>
  </si>
  <si>
    <t>-log()</t>
  </si>
  <si>
    <t>exp()</t>
  </si>
  <si>
    <t>a</t>
  </si>
  <si>
    <t>big</t>
  </si>
  <si>
    <t>sky</t>
  </si>
  <si>
    <t>is</t>
  </si>
  <si>
    <t>are</t>
  </si>
  <si>
    <t>you</t>
  </si>
  <si>
    <t>me</t>
  </si>
  <si>
    <t>and</t>
  </si>
  <si>
    <t>go</t>
  </si>
  <si>
    <t>for</t>
  </si>
  <si>
    <t># Negative Log-Likelihood</t>
  </si>
  <si>
    <t>Log</t>
  </si>
  <si>
    <t>Negate</t>
  </si>
  <si>
    <t>z</t>
  </si>
  <si>
    <t>y</t>
  </si>
  <si>
    <t>product</t>
  </si>
  <si>
    <t>log</t>
  </si>
  <si>
    <t>sum</t>
  </si>
  <si>
    <t>surprised</t>
  </si>
  <si>
    <t>not surprised</t>
  </si>
  <si>
    <t>Linear Scale</t>
  </si>
  <si>
    <t>same</t>
  </si>
  <si>
    <t>Log Scale</t>
  </si>
  <si>
    <t>steep</t>
  </si>
  <si>
    <t>flat</t>
  </si>
  <si>
    <t>model is very wrong, needs more correction</t>
  </si>
  <si>
    <t>model is already quite confident, needs small improvement</t>
  </si>
  <si>
    <t># Cross Entropy Loss</t>
  </si>
  <si>
    <t>y = q(i)</t>
  </si>
  <si>
    <t>log q(i)</t>
  </si>
  <si>
    <t>-log q(i)</t>
  </si>
  <si>
    <t>p(i) * -log q(xi)</t>
  </si>
  <si>
    <t>Sum</t>
  </si>
  <si>
    <t># ​KL Divergence</t>
  </si>
  <si>
    <t>logits</t>
  </si>
  <si>
    <t>Q</t>
  </si>
  <si>
    <t>P</t>
  </si>
  <si>
    <t>log(pi) - log(qi)</t>
  </si>
  <si>
    <t>pi .*</t>
  </si>
  <si>
    <t>Σ</t>
  </si>
  <si>
    <r>
      <rPr>
        <sz val="12"/>
        <color theme="1"/>
        <rFont val="Aptos Narrow (Body)"/>
      </rPr>
      <t>D</t>
    </r>
    <r>
      <rPr>
        <vertAlign val="subscript"/>
        <sz val="12"/>
        <color theme="1"/>
        <rFont val="Aptos Narrow"/>
        <family val="2"/>
        <scheme val="minor"/>
      </rPr>
      <t>KL</t>
    </r>
  </si>
  <si>
    <t>## Variational Autoencoder</t>
  </si>
  <si>
    <t>Closed Form Solution</t>
  </si>
  <si>
    <t>mu</t>
  </si>
  <si>
    <t>sigma</t>
  </si>
  <si>
    <t>pi*</t>
  </si>
  <si>
    <t>SUM</t>
  </si>
  <si>
    <t># ​Accuracy</t>
  </si>
  <si>
    <t>Labels</t>
  </si>
  <si>
    <t>X</t>
  </si>
  <si>
    <t>model</t>
  </si>
  <si>
    <t>predict</t>
  </si>
  <si>
    <t>Scores</t>
  </si>
  <si>
    <t>sigmoid</t>
  </si>
  <si>
    <t>Probability</t>
  </si>
  <si>
    <t>Threshold</t>
  </si>
  <si>
    <t>Correct</t>
  </si>
  <si>
    <t>/n</t>
  </si>
  <si>
    <t>Accuracy</t>
  </si>
  <si>
    <t># ​Precision / Recall / F1</t>
  </si>
  <si>
    <t>TP</t>
  </si>
  <si>
    <t>True Positive</t>
  </si>
  <si>
    <t>PP</t>
  </si>
  <si>
    <t>Predictedly Positive</t>
  </si>
  <si>
    <t>AP</t>
  </si>
  <si>
    <t>Actually Positive</t>
  </si>
  <si>
    <t>Recall</t>
  </si>
  <si>
    <t>Prec</t>
  </si>
  <si>
    <t>F1</t>
  </si>
  <si>
    <t># ROUGE</t>
  </si>
  <si>
    <t>ROUGE-1</t>
  </si>
  <si>
    <t>Unigram</t>
  </si>
  <si>
    <t>Oriented</t>
  </si>
  <si>
    <t>n = 1</t>
  </si>
  <si>
    <t>Understudy</t>
  </si>
  <si>
    <t>Gisting</t>
  </si>
  <si>
    <t>Reference</t>
  </si>
  <si>
    <t>Candidate</t>
  </si>
  <si>
    <t>Evaluation</t>
  </si>
  <si>
    <t>the cat sat on a mat</t>
  </si>
  <si>
    <t>the cat sat</t>
  </si>
  <si>
    <t>ROUGE-1 Recall</t>
  </si>
  <si>
    <t>Σ/m</t>
  </si>
  <si>
    <t>R</t>
  </si>
  <si>
    <t># of overlapping words</t>
  </si>
  <si>
    <t># of reference words</t>
  </si>
  <si>
    <t># BLEU</t>
  </si>
  <si>
    <t>Bilingual</t>
  </si>
  <si>
    <t>1-gram</t>
  </si>
  <si>
    <t>2-gram</t>
  </si>
  <si>
    <t>3-gram</t>
  </si>
  <si>
    <t>4-gram</t>
  </si>
  <si>
    <t>the cat is on the mat</t>
  </si>
  <si>
    <t>cat is on the pig</t>
  </si>
  <si>
    <t>the cat is on mat</t>
  </si>
  <si>
    <t>Precision</t>
  </si>
  <si>
    <t>p1</t>
  </si>
  <si>
    <t>p2</t>
  </si>
  <si>
    <t>p3</t>
  </si>
  <si>
    <t>p4</t>
  </si>
  <si>
    <t>weights</t>
  </si>
  <si>
    <t>ca</t>
  </si>
  <si>
    <t>weighted * log</t>
  </si>
  <si>
    <t>weighted SUM</t>
  </si>
  <si>
    <t>c</t>
  </si>
  <si>
    <t>candidate length</t>
  </si>
  <si>
    <t>B</t>
  </si>
  <si>
    <t>Brevity</t>
  </si>
  <si>
    <t>r</t>
  </si>
  <si>
    <t>reference length</t>
  </si>
  <si>
    <t>BLEU = BP * exp()</t>
  </si>
  <si>
    <t>exp</t>
  </si>
  <si>
    <t>Penalty</t>
  </si>
  <si>
    <t>BP</t>
  </si>
  <si>
    <t># BERTScore</t>
  </si>
  <si>
    <t>Bidrectional</t>
  </si>
  <si>
    <t>This is a cat.</t>
  </si>
  <si>
    <t>Cat is here.</t>
  </si>
  <si>
    <t>Encoder</t>
  </si>
  <si>
    <t>Representation</t>
  </si>
  <si>
    <t>Transformers</t>
  </si>
  <si>
    <t>Candidate Tokens</t>
  </si>
  <si>
    <t xml:space="preserve">BERT </t>
  </si>
  <si>
    <t>j</t>
  </si>
  <si>
    <r>
      <t>r</t>
    </r>
    <r>
      <rPr>
        <vertAlign val="subscript"/>
        <sz val="12"/>
        <color theme="1"/>
        <rFont val="Aptos Narrow (Body)"/>
      </rPr>
      <t>1</t>
    </r>
  </si>
  <si>
    <r>
      <t>r</t>
    </r>
    <r>
      <rPr>
        <vertAlign val="subscript"/>
        <sz val="12"/>
        <color theme="1"/>
        <rFont val="Aptos Narrow (Body)"/>
      </rPr>
      <t>2</t>
    </r>
  </si>
  <si>
    <r>
      <t>r</t>
    </r>
    <r>
      <rPr>
        <vertAlign val="subscript"/>
        <sz val="12"/>
        <color theme="1"/>
        <rFont val="Aptos Narrow (Body)"/>
      </rPr>
      <t>3</t>
    </r>
  </si>
  <si>
    <t>L2 Norm</t>
  </si>
  <si>
    <t>i</t>
  </si>
  <si>
    <t>Reference Tokens</t>
  </si>
  <si>
    <t>max</t>
  </si>
  <si>
    <r>
      <t>c</t>
    </r>
    <r>
      <rPr>
        <vertAlign val="subscript"/>
        <sz val="12"/>
        <color theme="1"/>
        <rFont val="Aptos Narrow (Body)"/>
      </rPr>
      <t>1</t>
    </r>
  </si>
  <si>
    <r>
      <t>c</t>
    </r>
    <r>
      <rPr>
        <vertAlign val="subscript"/>
        <sz val="12"/>
        <color theme="1"/>
        <rFont val="Aptos Narrow (Body)"/>
      </rPr>
      <t>2</t>
    </r>
  </si>
  <si>
    <r>
      <t>c</t>
    </r>
    <r>
      <rPr>
        <vertAlign val="subscript"/>
        <sz val="12"/>
        <color theme="1"/>
        <rFont val="Aptos Narrow (Body)"/>
      </rPr>
      <t>3</t>
    </r>
  </si>
  <si>
    <r>
      <t>c</t>
    </r>
    <r>
      <rPr>
        <vertAlign val="subscript"/>
        <sz val="12"/>
        <color theme="1"/>
        <rFont val="Aptos Narrow (Body)"/>
      </rPr>
      <t>4</t>
    </r>
  </si>
  <si>
    <t>2*P*R</t>
  </si>
  <si>
    <t>Σ/n</t>
  </si>
  <si>
    <t>=</t>
  </si>
  <si>
    <t>P+R</t>
  </si>
  <si>
    <t>License &amp; Usage Terms</t>
  </si>
  <si>
    <t>© 2026 Tom Yeh. All rights reserved.</t>
  </si>
  <si>
    <t>This spreadsheet is part of the AI by Hand Academy Membership and is licensed, not sold, to authorized subscribers for personal or internal use only.</t>
  </si>
  <si>
    <t>Permitted Use</t>
  </si>
  <si>
    <t>Authorized users may study, reproduce, and adapt the formulas, logic, or structural ideas contained in this spreadsheet for learning, research, experimentation, and internal development.</t>
  </si>
  <si>
    <t>Authorized users may implement those ideas within their own internal systems or codebases (e.g., PyTorch, JAX, TensorFlow, or other frameworks).</t>
  </si>
  <si>
    <t>Prohibited Use</t>
  </si>
  <si>
    <t>You may not copy, share, publish, redistribute, sublicense, sell, or make this spreadsheet (or substantially similar derivatives) available to any third party.</t>
  </si>
  <si>
    <t>You may not publicly post the spreadsheet or its contents, in whole or in part, in any form.</t>
  </si>
  <si>
    <t>You may not use this material or derivative works as part of any commercial product, service, consulting deliverable, paid course, or toolkit without obtaining separate written permission or a commercial-use license from Tom Yeh.</t>
  </si>
  <si>
    <t>Attribution</t>
  </si>
  <si>
    <t>Any public-facing derivative work (including publications, presentations, blog posts, documentation, or open-source releases) based on these materials must include clear attribution to: Prof. Tom Yeh, AI by Hand.</t>
  </si>
  <si>
    <t>Ownership</t>
  </si>
  <si>
    <t>All rights, title, and interest in the original materials remain with Tom Yeh. This license does not grant ownership or transfer of intellectual property.</t>
  </si>
  <si>
    <t>Acceptance</t>
  </si>
  <si>
    <t>Use of this material signifies your acceptance of these License &amp; Usage Terms. Violation of these terms may result in termination of access without refund.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</si>
</sst>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vertAlign val="subscript"/>
      <sz val="12"/>
      <color theme="1"/>
      <name val="Aptos Narrow (Body)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vertAlign val="subscript"/>
      <sz val="12"/>
      <color theme="1"/>
      <name val="Aptos Narrow"/>
      <family val="2"/>
      <scheme val="minor"/>
    </font>
    <font>
      <sz val="12"/>
      <color theme="1"/>
      <name val="Aptos Narrow (Body)"/>
    </font>
    <font>
      <sz val="48"/>
      <color theme="0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8"/>
      <name val="Aptos Narrow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1F1F1F"/>
      <name val="Arial"/>
      <family val="2"/>
    </font>
    <font>
      <sz val="14"/>
      <color rgb="FF131413"/>
      <name val="Apple Color Emoji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</font>
    <font>
      <sz val="12"/>
      <color rgb="FF474747"/>
      <name val="Arial"/>
      <family val="2"/>
    </font>
    <font>
      <sz val="12"/>
      <color theme="1"/>
      <name val="Aptos Narrow"/>
      <scheme val="minor"/>
    </font>
    <font>
      <b/>
      <sz val="36"/>
      <color theme="3"/>
      <name val="Aptos Narrow"/>
      <family val="2"/>
      <scheme val="minor"/>
    </font>
    <font>
      <i/>
      <sz val="13.5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0" fillId="0" borderId="24" applyNumberFormat="0" applyFill="0" applyAlignment="0" applyProtection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3" fillId="0" borderId="0" xfId="0" applyFont="1"/>
    <xf numFmtId="0" fontId="0" fillId="0" borderId="2" xfId="0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3" xfId="0" applyBorder="1"/>
    <xf numFmtId="0" fontId="6" fillId="0" borderId="0" xfId="0" applyFont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8" fillId="4" borderId="0" xfId="0" applyFont="1" applyFill="1"/>
    <xf numFmtId="0" fontId="9" fillId="4" borderId="0" xfId="0" applyFont="1" applyFill="1"/>
    <xf numFmtId="0" fontId="9" fillId="4" borderId="0" xfId="0" applyFont="1" applyFill="1" applyAlignment="1">
      <alignment horizontal="center" vertical="center" shrinkToFi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4" fillId="0" borderId="0" xfId="1"/>
    <xf numFmtId="0" fontId="13" fillId="0" borderId="0" xfId="0" applyFont="1"/>
    <xf numFmtId="0" fontId="4" fillId="0" borderId="0" xfId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5" borderId="0" xfId="0" applyFill="1"/>
    <xf numFmtId="0" fontId="0" fillId="0" borderId="0" xfId="0" quotePrefix="1"/>
    <xf numFmtId="0" fontId="0" fillId="0" borderId="0" xfId="0" applyAlignment="1">
      <alignment horizontal="left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1" xfId="0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" borderId="0" xfId="0" applyFill="1"/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3" borderId="0" xfId="0" applyFill="1" applyAlignment="1">
      <alignment horizontal="right"/>
    </xf>
    <xf numFmtId="0" fontId="0" fillId="5" borderId="0" xfId="0" applyFill="1" applyAlignment="1">
      <alignment textRotation="90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19" fillId="0" borderId="0" xfId="0" applyFont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1" fontId="0" fillId="0" borderId="2" xfId="0" applyNumberFormat="1" applyBorder="1" applyAlignment="1">
      <alignment shrinkToFit="1"/>
    </xf>
    <xf numFmtId="0" fontId="1" fillId="0" borderId="22" xfId="0" applyFont="1" applyBorder="1"/>
    <xf numFmtId="0" fontId="1" fillId="0" borderId="22" xfId="0" applyFont="1" applyBorder="1" applyAlignment="1">
      <alignment horizontal="center"/>
    </xf>
    <xf numFmtId="0" fontId="0" fillId="6" borderId="0" xfId="0" applyFill="1"/>
    <xf numFmtId="0" fontId="20" fillId="0" borderId="24" xfId="2" applyFill="1"/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3">
    <cellStyle name="Heading 1" xfId="2" builtinId="16" customBuiltin="1"/>
    <cellStyle name="Hyperlink" xfId="1" builtinId="8"/>
    <cellStyle name="Normal" xfId="0" builtinId="0"/>
  </cellStyles>
  <dxfs count="31"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strike val="0"/>
        <u val="none"/>
        <color theme="0"/>
      </font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rgb="FF0070C0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  <dxf>
      <font>
        <u val="none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Precision - Recall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'AI Eval Math'!$AE$219:$AE$227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0.9</c:v>
                </c:pt>
                <c:pt idx="3">
                  <c:v>0.8</c:v>
                </c:pt>
                <c:pt idx="4">
                  <c:v>0.7</c:v>
                </c:pt>
                <c:pt idx="5">
                  <c:v>0.5</c:v>
                </c:pt>
                <c:pt idx="6">
                  <c:v>0.3</c:v>
                </c:pt>
                <c:pt idx="7">
                  <c:v>0.2</c:v>
                </c:pt>
                <c:pt idx="8">
                  <c:v>0.1</c:v>
                </c:pt>
              </c:numCache>
            </c:numRef>
          </c:xVal>
          <c:yVal>
            <c:numRef>
              <c:f>'AI Eval Math'!$AG$219:$AG$227</c:f>
              <c:numCache>
                <c:formatCode>General</c:formatCode>
                <c:ptCount val="9"/>
                <c:pt idx="0">
                  <c:v>0.5</c:v>
                </c:pt>
                <c:pt idx="1">
                  <c:v>0.58823529411764708</c:v>
                </c:pt>
                <c:pt idx="2">
                  <c:v>0.69230769230769229</c:v>
                </c:pt>
                <c:pt idx="3">
                  <c:v>0.72727272727272729</c:v>
                </c:pt>
                <c:pt idx="4">
                  <c:v>0.875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E5-BD41-973C-46E618B25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877760"/>
        <c:axId val="1733801536"/>
      </c:scatterChart>
      <c:valAx>
        <c:axId val="173287776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801536"/>
        <c:crosses val="autoZero"/>
        <c:crossBetween val="midCat"/>
      </c:valAx>
      <c:valAx>
        <c:axId val="17338015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87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chart" Target="../charts/chart1.xml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50800</xdr:colOff>
      <xdr:row>146</xdr:row>
      <xdr:rowOff>228600</xdr:rowOff>
    </xdr:from>
    <xdr:to>
      <xdr:col>34</xdr:col>
      <xdr:colOff>63500</xdr:colOff>
      <xdr:row>150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4AE8F3-CB5A-6C46-9605-422619601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300" y="46443900"/>
          <a:ext cx="3327400" cy="10922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14</xdr:col>
      <xdr:colOff>219023</xdr:colOff>
      <xdr:row>202</xdr:row>
      <xdr:rowOff>276902</xdr:rowOff>
    </xdr:from>
    <xdr:to>
      <xdr:col>28</xdr:col>
      <xdr:colOff>279400</xdr:colOff>
      <xdr:row>205</xdr:row>
      <xdr:rowOff>133390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74B927-7EE3-0E4C-BC11-569D8E514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5223" y="64170602"/>
          <a:ext cx="5216577" cy="77088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230683</xdr:colOff>
      <xdr:row>203</xdr:row>
      <xdr:rowOff>8744</xdr:rowOff>
    </xdr:from>
    <xdr:to>
      <xdr:col>13</xdr:col>
      <xdr:colOff>1</xdr:colOff>
      <xdr:row>205</xdr:row>
      <xdr:rowOff>114448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CCA306-C990-3840-9D88-65187F0B1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8983" y="64207244"/>
          <a:ext cx="4188918" cy="71530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35</xdr:col>
      <xdr:colOff>326841</xdr:colOff>
      <xdr:row>218</xdr:row>
      <xdr:rowOff>23249</xdr:rowOff>
    </xdr:from>
    <xdr:to>
      <xdr:col>44</xdr:col>
      <xdr:colOff>232315</xdr:colOff>
      <xdr:row>220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A35EC5-A8F3-4749-8655-BCE1A6E2F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17341" y="69403349"/>
          <a:ext cx="3220174" cy="70065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28</xdr:col>
      <xdr:colOff>300532</xdr:colOff>
      <xdr:row>228</xdr:row>
      <xdr:rowOff>110066</xdr:rowOff>
    </xdr:from>
    <xdr:to>
      <xdr:col>34</xdr:col>
      <xdr:colOff>169333</xdr:colOff>
      <xdr:row>234</xdr:row>
      <xdr:rowOff>84666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EED20A-2D9F-2C4E-8322-86507971C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29</xdr:col>
      <xdr:colOff>242107</xdr:colOff>
      <xdr:row>334</xdr:row>
      <xdr:rowOff>123372</xdr:rowOff>
    </xdr:from>
    <xdr:to>
      <xdr:col>35</xdr:col>
      <xdr:colOff>115106</xdr:colOff>
      <xdr:row>337</xdr:row>
      <xdr:rowOff>110672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FB41CC-F231-7242-829F-264414C53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22807" y="106333472"/>
          <a:ext cx="2082799" cy="901700"/>
        </a:xfrm>
        <a:prstGeom prst="rect">
          <a:avLst/>
        </a:prstGeom>
      </xdr:spPr>
    </xdr:pic>
    <xdr:clientData/>
  </xdr:twoCellAnchor>
  <xdr:twoCellAnchor>
    <xdr:from>
      <xdr:col>26</xdr:col>
      <xdr:colOff>114300</xdr:colOff>
      <xdr:row>335</xdr:row>
      <xdr:rowOff>152400</xdr:rowOff>
    </xdr:from>
    <xdr:to>
      <xdr:col>28</xdr:col>
      <xdr:colOff>266700</xdr:colOff>
      <xdr:row>335</xdr:row>
      <xdr:rowOff>152400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1C9544A-F0F1-8541-A8B2-5B960C375ADF}"/>
            </a:ext>
          </a:extLst>
        </xdr:cNvPr>
        <xdr:cNvCxnSpPr/>
      </xdr:nvCxnSpPr>
      <xdr:spPr>
        <a:xfrm>
          <a:off x="9690100" y="106667300"/>
          <a:ext cx="8890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26164</xdr:colOff>
      <xdr:row>327</xdr:row>
      <xdr:rowOff>107862</xdr:rowOff>
    </xdr:from>
    <xdr:to>
      <xdr:col>33</xdr:col>
      <xdr:colOff>231294</xdr:colOff>
      <xdr:row>330</xdr:row>
      <xdr:rowOff>120561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E2AEB1A-27BB-9440-941E-FBA92DBCA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01964" y="104184362"/>
          <a:ext cx="2783230" cy="92709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23</xdr:col>
      <xdr:colOff>131046</xdr:colOff>
      <xdr:row>328</xdr:row>
      <xdr:rowOff>26456</xdr:rowOff>
    </xdr:from>
    <xdr:to>
      <xdr:col>23</xdr:col>
      <xdr:colOff>297234</xdr:colOff>
      <xdr:row>331</xdr:row>
      <xdr:rowOff>297233</xdr:rowOff>
    </xdr:to>
    <xdr:sp macro="" textlink="">
      <xdr:nvSpPr>
        <xdr:cNvPr id="10" name="Right Brace 9">
          <a:extLst>
            <a:ext uri="{FF2B5EF4-FFF2-40B4-BE49-F238E27FC236}">
              <a16:creationId xmlns:a16="http://schemas.microsoft.com/office/drawing/2014/main" id="{A11572FC-D37E-834D-8265-A67661038C04}"/>
            </a:ext>
          </a:extLst>
        </xdr:cNvPr>
        <xdr:cNvSpPr/>
      </xdr:nvSpPr>
      <xdr:spPr>
        <a:xfrm>
          <a:off x="8601946" y="104407756"/>
          <a:ext cx="166188" cy="1185177"/>
        </a:xfrm>
        <a:prstGeom prst="rightBrace">
          <a:avLst>
            <a:gd name="adj1" fmla="val 8333"/>
            <a:gd name="adj2" fmla="val 10432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112805</xdr:colOff>
      <xdr:row>334</xdr:row>
      <xdr:rowOff>77696</xdr:rowOff>
    </xdr:from>
    <xdr:to>
      <xdr:col>20</xdr:col>
      <xdr:colOff>213348</xdr:colOff>
      <xdr:row>334</xdr:row>
      <xdr:rowOff>226050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id="{80519D61-79D7-FD4B-8050-5A05386ECC43}"/>
            </a:ext>
          </a:extLst>
        </xdr:cNvPr>
        <xdr:cNvSpPr/>
      </xdr:nvSpPr>
      <xdr:spPr>
        <a:xfrm rot="5400000">
          <a:off x="7086600" y="105943401"/>
          <a:ext cx="148354" cy="837143"/>
        </a:xfrm>
        <a:prstGeom prst="rightBrace">
          <a:avLst>
            <a:gd name="adj1" fmla="val 8333"/>
            <a:gd name="adj2" fmla="val 86785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248567</xdr:colOff>
      <xdr:row>296</xdr:row>
      <xdr:rowOff>156882</xdr:rowOff>
    </xdr:from>
    <xdr:to>
      <xdr:col>13</xdr:col>
      <xdr:colOff>152494</xdr:colOff>
      <xdr:row>298</xdr:row>
      <xdr:rowOff>282226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4309FE2-0007-494B-A6D6-9C099B442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26667" y="94479782"/>
          <a:ext cx="2113727" cy="734944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15</xdr:col>
      <xdr:colOff>89451</xdr:colOff>
      <xdr:row>305</xdr:row>
      <xdr:rowOff>205054</xdr:rowOff>
    </xdr:from>
    <xdr:to>
      <xdr:col>21</xdr:col>
      <xdr:colOff>110419</xdr:colOff>
      <xdr:row>307</xdr:row>
      <xdr:rowOff>281254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7CA113B-CEF4-454F-B597-026487E245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61055"/>
        <a:stretch>
          <a:fillRect/>
        </a:stretch>
      </xdr:blipFill>
      <xdr:spPr>
        <a:xfrm>
          <a:off x="5613951" y="97271154"/>
          <a:ext cx="2230768" cy="6858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9</xdr:col>
      <xdr:colOff>24553</xdr:colOff>
      <xdr:row>24</xdr:row>
      <xdr:rowOff>219933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B0DDC01-5F73-1143-B34F-A7C918A33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8300" y="7505700"/>
          <a:ext cx="2970953" cy="829533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25</xdr:col>
      <xdr:colOff>50800</xdr:colOff>
      <xdr:row>152</xdr:row>
      <xdr:rowOff>88900</xdr:rowOff>
    </xdr:from>
    <xdr:to>
      <xdr:col>33</xdr:col>
      <xdr:colOff>101600</xdr:colOff>
      <xdr:row>155</xdr:row>
      <xdr:rowOff>101600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6E19F4B-B90B-2542-AB67-D90C7926F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58300" y="48133000"/>
          <a:ext cx="2997200" cy="9271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2</xdr:col>
      <xdr:colOff>104098</xdr:colOff>
      <xdr:row>273</xdr:row>
      <xdr:rowOff>-1</xdr:rowOff>
    </xdr:from>
    <xdr:to>
      <xdr:col>12</xdr:col>
      <xdr:colOff>187376</xdr:colOff>
      <xdr:row>276</xdr:row>
      <xdr:rowOff>1325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893FCDD-D917-C34A-BF46-B613CC0F1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40698" y="86753699"/>
          <a:ext cx="3766278" cy="91572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13</xdr:col>
      <xdr:colOff>67553</xdr:colOff>
      <xdr:row>336</xdr:row>
      <xdr:rowOff>270213</xdr:rowOff>
    </xdr:from>
    <xdr:to>
      <xdr:col>21</xdr:col>
      <xdr:colOff>111096</xdr:colOff>
      <xdr:row>340</xdr:row>
      <xdr:rowOff>68325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28372DB-14DF-E149-A3DD-36A773FB3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55453" y="107089913"/>
          <a:ext cx="2989943" cy="101731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175640</xdr:colOff>
      <xdr:row>99</xdr:row>
      <xdr:rowOff>94574</xdr:rowOff>
    </xdr:from>
    <xdr:to>
      <xdr:col>10</xdr:col>
      <xdr:colOff>169155</xdr:colOff>
      <xdr:row>102</xdr:row>
      <xdr:rowOff>152940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0E62099-3B3F-C54F-A377-75632F7FC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3940" y="31679474"/>
          <a:ext cx="3308215" cy="97276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10</xdr:col>
      <xdr:colOff>131046</xdr:colOff>
      <xdr:row>262</xdr:row>
      <xdr:rowOff>54043</xdr:rowOff>
    </xdr:from>
    <xdr:to>
      <xdr:col>10</xdr:col>
      <xdr:colOff>297234</xdr:colOff>
      <xdr:row>267</xdr:row>
      <xdr:rowOff>283724</xdr:rowOff>
    </xdr:to>
    <xdr:sp macro="" textlink="">
      <xdr:nvSpPr>
        <xdr:cNvPr id="19" name="Right Brace 18">
          <a:extLst>
            <a:ext uri="{FF2B5EF4-FFF2-40B4-BE49-F238E27FC236}">
              <a16:creationId xmlns:a16="http://schemas.microsoft.com/office/drawing/2014/main" id="{F89E1375-B08A-5A45-8012-D3CE16EB0CA5}"/>
            </a:ext>
          </a:extLst>
        </xdr:cNvPr>
        <xdr:cNvSpPr/>
      </xdr:nvSpPr>
      <xdr:spPr>
        <a:xfrm>
          <a:off x="3814046" y="83150143"/>
          <a:ext cx="166188" cy="1753681"/>
        </a:xfrm>
        <a:prstGeom prst="rightBrace">
          <a:avLst>
            <a:gd name="adj1" fmla="val 8333"/>
            <a:gd name="adj2" fmla="val 10432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113863</xdr:colOff>
      <xdr:row>123</xdr:row>
      <xdr:rowOff>201448</xdr:rowOff>
    </xdr:from>
    <xdr:to>
      <xdr:col>21</xdr:col>
      <xdr:colOff>1</xdr:colOff>
      <xdr:row>126</xdr:row>
      <xdr:rowOff>277760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DE56F96-EF2C-8C42-A71E-577EEC904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2163" y="39406348"/>
          <a:ext cx="7252138" cy="99071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52BF-CC13-D74D-828E-FDF0D57522AA}">
  <sheetPr>
    <pageSetUpPr fitToPage="1"/>
  </sheetPr>
  <dimension ref="A1:AO342"/>
  <sheetViews>
    <sheetView zoomScaleNormal="100" zoomScaleSheetLayoutView="100" workbookViewId="0"/>
  </sheetViews>
  <sheetFormatPr defaultColWidth="4.875" defaultRowHeight="24" customHeight="1"/>
  <cols>
    <col min="3" max="10" width="4.875" customWidth="1"/>
    <col min="16" max="16" width="4.875" customWidth="1"/>
    <col min="26" max="31" width="4.875" customWidth="1"/>
    <col min="33" max="33" width="4.875" customWidth="1"/>
    <col min="38" max="38" width="4.875" customWidth="1"/>
  </cols>
  <sheetData>
    <row r="1" spans="1:36" s="27" customFormat="1" ht="63">
      <c r="A1" s="26" t="s">
        <v>0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 spans="1:36">
      <c r="A2" s="29" t="s">
        <v>1</v>
      </c>
    </row>
    <row r="3" spans="1:36">
      <c r="A3" s="29"/>
    </row>
    <row r="4" spans="1:36" ht="24" customHeight="1">
      <c r="A4" s="30" t="s">
        <v>2</v>
      </c>
      <c r="B4" s="31"/>
      <c r="C4" s="31"/>
      <c r="D4" s="31"/>
      <c r="U4" s="32"/>
    </row>
    <row r="5" spans="1:36" ht="24" customHeight="1">
      <c r="B5" s="33" t="str" cm="1">
        <f t="array" ref="B5:B14">_xlfn._xlws.FILTER("A" &amp; ROW(A:A), LEFT(A:A,1)="#")</f>
        <v>A20</v>
      </c>
      <c r="C5" s="34" t="str">
        <f t="shared" ref="C5:C14" si="0">HYPERLINK("#"&amp;B5, _xlfn.UNICHAR(128279))</f>
        <v>🔗</v>
      </c>
      <c r="D5" t="str" cm="1">
        <f t="array" aca="1" ref="D5" ca="1">_xlfn.LET(
  _xlpm.n, INDIRECT(B5),
  _xlpm.indent, 9,
  _xlpm.k, LEN(_xlpm.n) - LEN(SUBSTITUTE(_xlpm.n,"#","")),
  IF(_xlpm.k&gt;=2, REPT(" ", _xlpm.indent*(_xlpm.k-1)) &amp; _xlpm.n, _xlpm.n)
)</f>
        <v># Perplexity (PPL)</v>
      </c>
    </row>
    <row r="6" spans="1:36" ht="24" customHeight="1">
      <c r="B6" s="33" t="str">
        <v>A61</v>
      </c>
      <c r="C6" s="34" t="str">
        <f t="shared" si="0"/>
        <v>🔗</v>
      </c>
      <c r="D6" t="str" cm="1">
        <f t="array" aca="1" ref="D6" ca="1">_xlfn.LET(
  _xlpm.n, INDIRECT(B6),
  _xlpm.indent, 9,
  _xlpm.k, LEN(_xlpm.n) - LEN(SUBSTITUTE(_xlpm.n,"#","")),
  IF(_xlpm.k&gt;=2, REPT(" ", _xlpm.indent*(_xlpm.k-1)) &amp; _xlpm.n, _xlpm.n)
)</f>
        <v># Negative Log-Likelihood</v>
      </c>
    </row>
    <row r="7" spans="1:36" ht="24" customHeight="1">
      <c r="B7" s="33" t="str">
        <v>A98</v>
      </c>
      <c r="C7" s="34" t="str">
        <f t="shared" si="0"/>
        <v>🔗</v>
      </c>
      <c r="D7" t="str" cm="1">
        <f t="array" aca="1" ref="D7" ca="1">_xlfn.LET(
  _xlpm.n, INDIRECT(B7),
  _xlpm.indent, 9,
  _xlpm.k, LEN(_xlpm.n) - LEN(SUBSTITUTE(_xlpm.n,"#","")),
  IF(_xlpm.k&gt;=2, REPT(" ", _xlpm.indent*(_xlpm.k-1)) &amp; _xlpm.n, _xlpm.n)
)</f>
        <v># Cross Entropy Loss</v>
      </c>
    </row>
    <row r="8" spans="1:36" ht="24" customHeight="1">
      <c r="B8" s="33" t="str">
        <v>A121</v>
      </c>
      <c r="C8" s="34" t="str">
        <f t="shared" si="0"/>
        <v>🔗</v>
      </c>
      <c r="D8" t="str" cm="1">
        <f t="array" aca="1" ref="D8" ca="1">_xlfn.LET(
  _xlpm.n, INDIRECT(B8),
  _xlpm.indent, 9,
  _xlpm.k, LEN(_xlpm.n) - LEN(SUBSTITUTE(_xlpm.n,"#","")),
  IF(_xlpm.k&gt;=2, REPT(" ", _xlpm.indent*(_xlpm.k-1)) &amp; _xlpm.n, _xlpm.n)
)</f>
        <v># ​KL Divergence</v>
      </c>
    </row>
    <row r="9" spans="1:36" ht="24" customHeight="1">
      <c r="B9" t="str">
        <v>A145</v>
      </c>
      <c r="C9" s="34" t="str">
        <f t="shared" si="0"/>
        <v>🔗</v>
      </c>
      <c r="D9" t="str" cm="1">
        <f t="array" aca="1" ref="D9" ca="1">_xlfn.LET(
  _xlpm.n, INDIRECT(B9),
  _xlpm.indent, 9,
  _xlpm.k, LEN(_xlpm.n) - LEN(SUBSTITUTE(_xlpm.n,"#","")),
  IF(_xlpm.k&gt;=2, REPT(" ", _xlpm.indent*(_xlpm.k-1)) &amp; _xlpm.n, _xlpm.n)
)</f>
        <v xml:space="preserve">         ## Variational Autoencoder</v>
      </c>
      <c r="U9" s="32"/>
    </row>
    <row r="10" spans="1:36" ht="24" customHeight="1">
      <c r="B10" t="str">
        <v>A177</v>
      </c>
      <c r="C10" s="34" t="str">
        <f t="shared" si="0"/>
        <v>🔗</v>
      </c>
      <c r="D10" t="str" cm="1">
        <f t="array" aca="1" ref="D10" ca="1">_xlfn.LET(
  _xlpm.n, INDIRECT(B10),
  _xlpm.indent, 9,
  _xlpm.k, LEN(_xlpm.n) - LEN(SUBSTITUTE(_xlpm.n,"#","")),
  IF(_xlpm.k&gt;=2, REPT(" ", _xlpm.indent*(_xlpm.k-1)) &amp; _xlpm.n, _xlpm.n)
)</f>
        <v># ​Accuracy</v>
      </c>
    </row>
    <row r="11" spans="1:36" ht="24" customHeight="1">
      <c r="B11" t="str">
        <v>A201</v>
      </c>
      <c r="C11" s="34" t="str">
        <f t="shared" si="0"/>
        <v>🔗</v>
      </c>
      <c r="D11" t="str" cm="1">
        <f t="array" aca="1" ref="D11" ca="1">_xlfn.LET(
  _xlpm.n, INDIRECT(B11),
  _xlpm.indent, 9,
  _xlpm.k, LEN(_xlpm.n) - LEN(SUBSTITUTE(_xlpm.n,"#","")),
  IF(_xlpm.k&gt;=2, REPT(" ", _xlpm.indent*(_xlpm.k-1)) &amp; _xlpm.n, _xlpm.n)
)</f>
        <v># ​Precision / Recall / F1</v>
      </c>
    </row>
    <row r="12" spans="1:36" ht="24" customHeight="1">
      <c r="B12" t="str">
        <v>A245</v>
      </c>
      <c r="C12" s="34" t="str">
        <f t="shared" si="0"/>
        <v>🔗</v>
      </c>
      <c r="D12" t="str" cm="1">
        <f t="array" aca="1" ref="D12" ca="1">_xlfn.LET(
  _xlpm.n, INDIRECT(B12),
  _xlpm.indent, 9,
  _xlpm.k, LEN(_xlpm.n) - LEN(SUBSTITUTE(_xlpm.n,"#","")),
  IF(_xlpm.k&gt;=2, REPT(" ", _xlpm.indent*(_xlpm.k-1)) &amp; _xlpm.n, _xlpm.n)
)</f>
        <v># ROUGE</v>
      </c>
    </row>
    <row r="13" spans="1:36" ht="24" customHeight="1">
      <c r="B13" t="str">
        <v>A272</v>
      </c>
      <c r="C13" s="34" t="str">
        <f t="shared" si="0"/>
        <v>🔗</v>
      </c>
      <c r="D13" t="str" cm="1">
        <f t="array" aca="1" ref="D13" ca="1">_xlfn.LET(
  _xlpm.n, INDIRECT(B13),
  _xlpm.indent, 9,
  _xlpm.k, LEN(_xlpm.n) - LEN(SUBSTITUTE(_xlpm.n,"#","")),
  IF(_xlpm.k&gt;=2, REPT(" ", _xlpm.indent*(_xlpm.k-1)) &amp; _xlpm.n, _xlpm.n)
)</f>
        <v># BLEU</v>
      </c>
    </row>
    <row r="14" spans="1:36" ht="24" customHeight="1">
      <c r="B14" t="str">
        <v>A311</v>
      </c>
      <c r="C14" s="34" t="str">
        <f t="shared" si="0"/>
        <v>🔗</v>
      </c>
      <c r="D14" t="str" cm="1">
        <f t="array" aca="1" ref="D14" ca="1">_xlfn.LET(
  _xlpm.n, INDIRECT(B14),
  _xlpm.indent, 9,
  _xlpm.k, LEN(_xlpm.n) - LEN(SUBSTITUTE(_xlpm.n,"#","")),
  IF(_xlpm.k&gt;=2, REPT(" ", _xlpm.indent*(_xlpm.k-1)) &amp; _xlpm.n, _xlpm.n)
)</f>
        <v># BERTScore</v>
      </c>
    </row>
    <row r="15" spans="1:36" ht="24" customHeight="1">
      <c r="C15" s="34"/>
    </row>
    <row r="20" spans="1:21" s="80" customFormat="1" ht="48" thickBot="1">
      <c r="A20" s="80" t="s">
        <v>3</v>
      </c>
    </row>
    <row r="21" spans="1:21" ht="24" customHeight="1" thickTop="1">
      <c r="A21" s="32" t="str">
        <f>HYPERLINK("#A1","[top]")</f>
        <v>[top]</v>
      </c>
    </row>
    <row r="22" spans="1:21" ht="24" customHeight="1">
      <c r="A22" s="32"/>
      <c r="U22" s="3"/>
    </row>
    <row r="23" spans="1:21" ht="24" customHeight="1">
      <c r="A23" s="32"/>
    </row>
    <row r="24" spans="1:21" ht="24" customHeight="1">
      <c r="A24" s="32"/>
    </row>
    <row r="25" spans="1:21" ht="24" customHeight="1">
      <c r="A25" s="32"/>
    </row>
    <row r="26" spans="1:21" ht="24" customHeight="1">
      <c r="A26" s="32"/>
    </row>
    <row r="27" spans="1:21" ht="24" customHeight="1">
      <c r="A27" s="32"/>
    </row>
    <row r="28" spans="1:21" ht="24" customHeight="1">
      <c r="A28" s="32"/>
      <c r="C28" s="1" t="s">
        <v>4</v>
      </c>
      <c r="D28" s="15">
        <v>1</v>
      </c>
      <c r="E28" s="15">
        <v>2</v>
      </c>
      <c r="F28" s="15">
        <v>3</v>
      </c>
      <c r="G28" s="15">
        <v>4</v>
      </c>
    </row>
    <row r="29" spans="1:21" ht="24" customHeight="1">
      <c r="A29" s="32"/>
      <c r="B29" t="s">
        <v>5</v>
      </c>
      <c r="D29" s="4">
        <v>6</v>
      </c>
      <c r="E29" s="4">
        <v>3</v>
      </c>
      <c r="F29" s="4">
        <v>5</v>
      </c>
      <c r="G29" s="4">
        <v>2</v>
      </c>
    </row>
    <row r="30" spans="1:21" ht="24" customHeight="1" thickBot="1">
      <c r="A30" s="32"/>
      <c r="D30" s="1" t="s">
        <v>6</v>
      </c>
      <c r="E30" s="1" t="s">
        <v>6</v>
      </c>
      <c r="F30" s="1" t="s">
        <v>6</v>
      </c>
      <c r="G30" s="1" t="s">
        <v>6</v>
      </c>
      <c r="N30" s="1"/>
      <c r="O30" s="1"/>
      <c r="P30" s="1"/>
      <c r="Q30" s="1"/>
    </row>
    <row r="31" spans="1:21" ht="24" customHeight="1">
      <c r="A31" s="32"/>
      <c r="C31" s="18"/>
      <c r="D31" s="19"/>
      <c r="E31" s="19"/>
      <c r="F31" s="19"/>
      <c r="G31" s="19"/>
      <c r="H31" s="20"/>
      <c r="N31" s="1"/>
      <c r="O31" s="1"/>
      <c r="P31" s="1"/>
      <c r="Q31" s="1"/>
    </row>
    <row r="32" spans="1:21" ht="24" customHeight="1">
      <c r="A32" s="32"/>
      <c r="C32" s="24"/>
      <c r="D32" s="7" t="s">
        <v>7</v>
      </c>
      <c r="H32" s="25"/>
      <c r="N32" s="1"/>
      <c r="O32" s="1"/>
      <c r="P32" s="1"/>
      <c r="Q32" s="1"/>
    </row>
    <row r="33" spans="1:33" ht="24" customHeight="1" thickBot="1">
      <c r="A33" s="32"/>
      <c r="C33" s="21"/>
      <c r="D33" s="22"/>
      <c r="E33" s="22"/>
      <c r="F33" s="22"/>
      <c r="G33" s="22"/>
      <c r="H33" s="23"/>
      <c r="N33" s="1"/>
      <c r="O33" s="1"/>
      <c r="P33" s="1"/>
      <c r="Q33" s="1"/>
    </row>
    <row r="34" spans="1:33" ht="24" customHeight="1">
      <c r="A34" s="32"/>
      <c r="D34" s="1" t="s">
        <v>6</v>
      </c>
      <c r="E34" s="1" t="s">
        <v>6</v>
      </c>
      <c r="F34" s="1" t="s">
        <v>6</v>
      </c>
      <c r="G34" s="1" t="s">
        <v>6</v>
      </c>
    </row>
    <row r="35" spans="1:33" ht="24" customHeight="1">
      <c r="A35" s="39"/>
      <c r="D35" s="57">
        <v>1</v>
      </c>
      <c r="E35" s="57">
        <v>2</v>
      </c>
      <c r="F35" s="57">
        <v>1</v>
      </c>
      <c r="G35" s="57">
        <v>1</v>
      </c>
    </row>
    <row r="36" spans="1:33" ht="24" customHeight="1">
      <c r="A36" s="32"/>
      <c r="D36" s="58">
        <v>3</v>
      </c>
      <c r="E36" s="58">
        <v>1</v>
      </c>
      <c r="F36" s="58">
        <v>1</v>
      </c>
      <c r="G36" s="58">
        <v>0</v>
      </c>
    </row>
    <row r="37" spans="1:33" ht="24" customHeight="1">
      <c r="A37" s="32"/>
      <c r="D37" s="58">
        <v>2</v>
      </c>
      <c r="E37" s="58">
        <v>0</v>
      </c>
      <c r="F37" s="58">
        <v>0</v>
      </c>
      <c r="G37" s="58">
        <v>0</v>
      </c>
    </row>
    <row r="38" spans="1:33" ht="24" customHeight="1">
      <c r="A38" s="32"/>
      <c r="D38" s="59">
        <v>1</v>
      </c>
      <c r="E38" s="59">
        <v>1</v>
      </c>
      <c r="F38" s="59">
        <v>2</v>
      </c>
      <c r="G38" s="59">
        <v>0</v>
      </c>
    </row>
    <row r="39" spans="1:33" ht="24" customHeight="1" thickBot="1">
      <c r="D39" s="1" t="s">
        <v>6</v>
      </c>
      <c r="E39" s="1" t="s">
        <v>6</v>
      </c>
      <c r="F39" s="1" t="s">
        <v>6</v>
      </c>
      <c r="G39" s="1" t="s">
        <v>6</v>
      </c>
    </row>
    <row r="40" spans="1:33" ht="24" customHeight="1">
      <c r="C40" s="18"/>
      <c r="D40" s="19"/>
      <c r="E40" s="19"/>
      <c r="F40" s="19"/>
      <c r="G40" s="19"/>
      <c r="H40" s="20"/>
    </row>
    <row r="41" spans="1:33" ht="24" customHeight="1">
      <c r="C41" s="24"/>
      <c r="D41" s="3" t="s">
        <v>8</v>
      </c>
      <c r="H41" s="25"/>
    </row>
    <row r="42" spans="1:33" ht="24" customHeight="1" thickBot="1">
      <c r="C42" s="21"/>
      <c r="D42" s="22"/>
      <c r="E42" s="22"/>
      <c r="F42" s="22"/>
      <c r="G42" s="22"/>
      <c r="H42" s="23"/>
      <c r="AA42" s="3"/>
    </row>
    <row r="43" spans="1:33" ht="24" customHeight="1" thickBot="1">
      <c r="D43" s="1" t="s">
        <v>6</v>
      </c>
      <c r="E43" s="1" t="s">
        <v>6</v>
      </c>
      <c r="F43" s="1" t="s">
        <v>6</v>
      </c>
      <c r="G43" s="1" t="s">
        <v>6</v>
      </c>
    </row>
    <row r="44" spans="1:33" ht="24" customHeight="1" thickBot="1">
      <c r="D44" s="50"/>
      <c r="E44" s="77" t="s">
        <v>9</v>
      </c>
      <c r="F44" s="77"/>
      <c r="G44" s="52"/>
      <c r="P44" s="15"/>
    </row>
    <row r="45" spans="1:33" ht="24" customHeight="1" thickBot="1">
      <c r="D45" s="1" t="s">
        <v>6</v>
      </c>
      <c r="E45" s="1" t="s">
        <v>6</v>
      </c>
      <c r="F45" s="1" t="s">
        <v>6</v>
      </c>
      <c r="G45" s="1" t="s">
        <v>6</v>
      </c>
      <c r="N45" s="3" t="s">
        <v>10</v>
      </c>
    </row>
    <row r="46" spans="1:33" ht="24" customHeight="1" thickBot="1">
      <c r="H46" s="50"/>
      <c r="I46" s="78" t="s">
        <v>11</v>
      </c>
      <c r="J46" s="52"/>
      <c r="O46" t="s">
        <v>5</v>
      </c>
      <c r="Q46" s="4">
        <v>6</v>
      </c>
      <c r="R46" s="4">
        <v>3</v>
      </c>
      <c r="S46" s="4">
        <v>5</v>
      </c>
      <c r="T46" s="4">
        <v>2</v>
      </c>
    </row>
    <row r="47" spans="1:33" ht="24" customHeight="1">
      <c r="B47" s="1" t="s">
        <v>12</v>
      </c>
      <c r="D47" s="1" t="s">
        <v>13</v>
      </c>
      <c r="I47" s="1" t="s">
        <v>14</v>
      </c>
      <c r="J47" s="70" t="s">
        <v>15</v>
      </c>
      <c r="N47" s="1" t="s">
        <v>14</v>
      </c>
      <c r="V47" t="s">
        <v>16</v>
      </c>
      <c r="AA47" t="s">
        <v>17</v>
      </c>
      <c r="AC47" t="s">
        <v>18</v>
      </c>
      <c r="AE47" s="41" t="s">
        <v>19</v>
      </c>
      <c r="AG47" t="s">
        <v>20</v>
      </c>
    </row>
    <row r="48" spans="1:33" ht="24" customHeight="1">
      <c r="B48" s="1">
        <v>1</v>
      </c>
      <c r="C48" s="42" t="s">
        <v>21</v>
      </c>
      <c r="D48" s="43">
        <v>0</v>
      </c>
      <c r="E48" s="43">
        <v>2</v>
      </c>
      <c r="F48" s="43">
        <v>0</v>
      </c>
      <c r="G48" s="43">
        <v>0</v>
      </c>
      <c r="J48" s="43" cm="1">
        <f t="array" ref="J48:J57">_xlfn.LET(_xlpm.z,D48:D57,_xlpm.a,_xlpm.z-MAX(_xlpm.z),EXP(_xlpm.a)/SUM(EXP(_xlpm.a)))</f>
        <v>3.2952692043684809E-3</v>
      </c>
      <c r="K48" s="43" cm="1">
        <f t="array" ref="K48:K57">_xlfn.LET(_xlpm.z,E48:E57,_xlpm.a,_xlpm.z-MAX(_xlpm.z),EXP(_xlpm.a)/SUM(EXP(_xlpm.a)))</f>
        <v>2.5262840591992436E-2</v>
      </c>
      <c r="L48" s="43" cm="1">
        <f t="array" ref="L48:L57">_xlfn.LET(_xlpm.z,F48:F57,_xlpm.a,_xlpm.z-MAX(_xlpm.z),EXP(_xlpm.a)/SUM(EXP(_xlpm.a)))</f>
        <v>3.4744375390201058E-3</v>
      </c>
      <c r="M48" s="43" cm="1">
        <f t="array" ref="M48:M57">_xlfn.LET(_xlpm.z,G48:G57,_xlpm.a,_xlpm.z-MAX(_xlpm.z),EXP(_xlpm.a)/SUM(EXP(_xlpm.a)))</f>
        <v>3.2273222594283715E-3</v>
      </c>
      <c r="Q48" s="46" t="str" cm="1">
        <f t="array" ref="Q48:Q57">IF($B48:$B57=Q46,$C48:$C57,"")</f>
        <v/>
      </c>
      <c r="R48" s="46" t="str" cm="1">
        <f t="array" ref="R48:R57">IF($B48:$B57=R46,$C48:$C57,"")</f>
        <v/>
      </c>
      <c r="S48" s="46" t="str" cm="1">
        <f t="array" ref="S48:S57">IF($B48:$B57=S46,$C48:$C57,"")</f>
        <v/>
      </c>
      <c r="T48" s="46" t="str" cm="1">
        <f t="array" ref="T48:T57">IF($B48:$B57=T46,$C48:$C57,"")</f>
        <v/>
      </c>
      <c r="V48" s="43" t="str" cm="1">
        <f t="array" ref="V48:V57">IF($B48:$B57=Q46,_xlfn.ANCHORARRAY(J48),"")</f>
        <v/>
      </c>
      <c r="W48" s="43" t="str" cm="1">
        <f t="array" ref="W48:W57">IF($B48:$B57=R46,_xlfn.ANCHORARRAY(K48),"")</f>
        <v/>
      </c>
      <c r="X48" s="43" t="str" cm="1">
        <f t="array" ref="X48:X57">IF($B48:$B57=S46,_xlfn.ANCHORARRAY(L48),"")</f>
        <v/>
      </c>
      <c r="Y48" s="43" t="str" cm="1">
        <f t="array" ref="Y48:Y57">IF($B48:$B57=T46,_xlfn.ANCHORARRAY(M48),"")</f>
        <v/>
      </c>
      <c r="AA48" s="2">
        <f>SUM(V48:Y57)</f>
        <v>0.73248783573406917</v>
      </c>
      <c r="AC48" s="2">
        <f>AA48/4</f>
        <v>0.18312195893351729</v>
      </c>
      <c r="AD48" s="41"/>
      <c r="AE48" s="2">
        <f>-LN(AC48)</f>
        <v>1.697602905855085</v>
      </c>
      <c r="AG48" s="49">
        <f>EXP(AE48)</f>
        <v>5.4608415387422298</v>
      </c>
    </row>
    <row r="49" spans="1:25" ht="24" customHeight="1">
      <c r="B49" s="1">
        <v>2</v>
      </c>
      <c r="C49" s="42" t="s">
        <v>22</v>
      </c>
      <c r="D49" s="44">
        <v>2</v>
      </c>
      <c r="E49" s="44">
        <v>4</v>
      </c>
      <c r="F49" s="44">
        <v>1</v>
      </c>
      <c r="G49" s="44">
        <v>4</v>
      </c>
      <c r="J49" s="44">
        <v>2.4348929012157277E-2</v>
      </c>
      <c r="K49" s="44">
        <v>0.18666854635257449</v>
      </c>
      <c r="L49" s="44">
        <v>9.4445004264343199E-3</v>
      </c>
      <c r="M49" s="44">
        <v>0.17620582492557632</v>
      </c>
      <c r="Q49" s="47" t="str">
        <v/>
      </c>
      <c r="R49" s="47" t="str">
        <v/>
      </c>
      <c r="S49" s="47" t="str">
        <v/>
      </c>
      <c r="T49" s="47" t="str">
        <v>big</v>
      </c>
      <c r="V49" s="44" t="str">
        <v/>
      </c>
      <c r="W49" s="44" t="str">
        <v/>
      </c>
      <c r="X49" s="44" t="str">
        <v/>
      </c>
      <c r="Y49" s="44">
        <v>0.17620582492557632</v>
      </c>
    </row>
    <row r="50" spans="1:25" ht="24" customHeight="1">
      <c r="B50" s="1">
        <v>3</v>
      </c>
      <c r="C50" s="42" t="s">
        <v>23</v>
      </c>
      <c r="D50" s="44">
        <v>3</v>
      </c>
      <c r="E50" s="44">
        <v>4</v>
      </c>
      <c r="F50" s="44">
        <v>2</v>
      </c>
      <c r="G50" s="44">
        <v>4</v>
      </c>
      <c r="J50" s="44">
        <v>6.6187251276186382E-2</v>
      </c>
      <c r="K50" s="44">
        <v>0.18666854635257449</v>
      </c>
      <c r="L50" s="44">
        <v>2.5672813888050119E-2</v>
      </c>
      <c r="M50" s="44">
        <v>0.17620582492557632</v>
      </c>
      <c r="Q50" s="47" t="str">
        <v/>
      </c>
      <c r="R50" s="47" t="str">
        <v>sky</v>
      </c>
      <c r="S50" s="47" t="str">
        <v/>
      </c>
      <c r="T50" s="47" t="str">
        <v/>
      </c>
      <c r="V50" s="44" t="str">
        <v/>
      </c>
      <c r="W50" s="44">
        <v>0.18666854635257449</v>
      </c>
      <c r="X50" s="44" t="str">
        <v/>
      </c>
      <c r="Y50" s="44" t="str">
        <v/>
      </c>
    </row>
    <row r="51" spans="1:25" ht="24" customHeight="1">
      <c r="B51" s="1">
        <v>4</v>
      </c>
      <c r="C51" s="42" t="s">
        <v>24</v>
      </c>
      <c r="D51" s="44">
        <v>4</v>
      </c>
      <c r="E51" s="44">
        <v>4</v>
      </c>
      <c r="F51" s="44">
        <v>4</v>
      </c>
      <c r="G51" s="44">
        <v>4</v>
      </c>
      <c r="J51" s="44">
        <v>0.17991560241971016</v>
      </c>
      <c r="K51" s="44">
        <v>0.18666854635257449</v>
      </c>
      <c r="L51" s="44">
        <v>0.1896978620362082</v>
      </c>
      <c r="M51" s="44">
        <v>0.17620582492557632</v>
      </c>
      <c r="Q51" s="47" t="str">
        <v/>
      </c>
      <c r="R51" s="47" t="str">
        <v/>
      </c>
      <c r="S51" s="47" t="str">
        <v/>
      </c>
      <c r="T51" s="47" t="str">
        <v/>
      </c>
      <c r="V51" s="44" t="str">
        <v/>
      </c>
      <c r="W51" s="44" t="str">
        <v/>
      </c>
      <c r="X51" s="44" t="str">
        <v/>
      </c>
      <c r="Y51" s="44" t="str">
        <v/>
      </c>
    </row>
    <row r="52" spans="1:25" ht="24" customHeight="1">
      <c r="B52" s="1">
        <v>5</v>
      </c>
      <c r="C52" s="42" t="s">
        <v>25</v>
      </c>
      <c r="D52" s="44">
        <v>4</v>
      </c>
      <c r="E52" s="44">
        <v>4</v>
      </c>
      <c r="F52" s="44">
        <v>4</v>
      </c>
      <c r="G52" s="44">
        <v>2</v>
      </c>
      <c r="J52" s="44">
        <v>0.17991560241971016</v>
      </c>
      <c r="K52" s="44">
        <v>0.18666854635257449</v>
      </c>
      <c r="L52" s="44">
        <v>0.1896978620362082</v>
      </c>
      <c r="M52" s="44">
        <v>2.3846865224243861E-2</v>
      </c>
      <c r="Q52" s="47" t="str">
        <v/>
      </c>
      <c r="R52" s="47" t="str">
        <v/>
      </c>
      <c r="S52" s="47" t="str">
        <v>are</v>
      </c>
      <c r="T52" s="47" t="str">
        <v/>
      </c>
      <c r="V52" s="44" t="str">
        <v/>
      </c>
      <c r="W52" s="44" t="str">
        <v/>
      </c>
      <c r="X52" s="44">
        <v>0.1896978620362082</v>
      </c>
      <c r="Y52" s="44" t="str">
        <v/>
      </c>
    </row>
    <row r="53" spans="1:25" ht="24" customHeight="1">
      <c r="B53" s="1">
        <v>6</v>
      </c>
      <c r="C53" s="42" t="s">
        <v>26</v>
      </c>
      <c r="D53" s="44">
        <v>4</v>
      </c>
      <c r="E53" s="44">
        <v>4</v>
      </c>
      <c r="F53" s="44">
        <v>4</v>
      </c>
      <c r="G53" s="44">
        <v>3</v>
      </c>
      <c r="J53" s="44">
        <v>0.17991560241971016</v>
      </c>
      <c r="K53" s="44">
        <v>0.18666854635257449</v>
      </c>
      <c r="L53" s="44">
        <v>0.1896978620362082</v>
      </c>
      <c r="M53" s="44">
        <v>6.4822500404774011E-2</v>
      </c>
      <c r="Q53" s="47" t="str">
        <v>you</v>
      </c>
      <c r="R53" s="47" t="str">
        <v/>
      </c>
      <c r="S53" s="47" t="str">
        <v/>
      </c>
      <c r="T53" s="47" t="str">
        <v/>
      </c>
      <c r="V53" s="44">
        <v>0.17991560241971016</v>
      </c>
      <c r="W53" s="44" t="str">
        <v/>
      </c>
      <c r="X53" s="44" t="str">
        <v/>
      </c>
      <c r="Y53" s="44" t="str">
        <v/>
      </c>
    </row>
    <row r="54" spans="1:25" ht="24" customHeight="1">
      <c r="B54" s="1">
        <v>7</v>
      </c>
      <c r="C54" s="42" t="s">
        <v>27</v>
      </c>
      <c r="D54" s="44">
        <v>4</v>
      </c>
      <c r="E54" s="44">
        <v>1</v>
      </c>
      <c r="F54" s="44">
        <v>4</v>
      </c>
      <c r="G54" s="44">
        <v>4</v>
      </c>
      <c r="J54" s="44">
        <v>0.17991560241971016</v>
      </c>
      <c r="K54" s="44">
        <v>9.2936796793854064E-3</v>
      </c>
      <c r="L54" s="44">
        <v>0.1896978620362082</v>
      </c>
      <c r="M54" s="44">
        <v>0.17620582492557632</v>
      </c>
      <c r="Q54" s="47" t="str">
        <v/>
      </c>
      <c r="R54" s="47" t="str">
        <v/>
      </c>
      <c r="S54" s="47" t="str">
        <v/>
      </c>
      <c r="T54" s="47" t="str">
        <v/>
      </c>
      <c r="V54" s="44" t="str">
        <v/>
      </c>
      <c r="W54" s="44" t="str">
        <v/>
      </c>
      <c r="X54" s="44" t="str">
        <v/>
      </c>
      <c r="Y54" s="44" t="str">
        <v/>
      </c>
    </row>
    <row r="55" spans="1:25" ht="24" customHeight="1">
      <c r="B55" s="1">
        <v>8</v>
      </c>
      <c r="C55" s="42" t="s">
        <v>28</v>
      </c>
      <c r="D55" s="44">
        <v>4</v>
      </c>
      <c r="E55" s="44">
        <v>2</v>
      </c>
      <c r="F55" s="44">
        <v>4</v>
      </c>
      <c r="G55" s="44">
        <v>4</v>
      </c>
      <c r="J55" s="44">
        <v>0.17991560241971016</v>
      </c>
      <c r="K55" s="44">
        <v>2.5262840591992436E-2</v>
      </c>
      <c r="L55" s="44">
        <v>0.1896978620362082</v>
      </c>
      <c r="M55" s="44">
        <v>0.17620582492557632</v>
      </c>
      <c r="Q55" s="47" t="str">
        <v/>
      </c>
      <c r="R55" s="47" t="str">
        <v/>
      </c>
      <c r="S55" s="47" t="str">
        <v/>
      </c>
      <c r="T55" s="47" t="str">
        <v/>
      </c>
      <c r="V55" s="44" t="str">
        <v/>
      </c>
      <c r="W55" s="44" t="str">
        <v/>
      </c>
      <c r="X55" s="44" t="str">
        <v/>
      </c>
      <c r="Y55" s="44" t="str">
        <v/>
      </c>
    </row>
    <row r="56" spans="1:25" ht="24" customHeight="1">
      <c r="B56" s="1">
        <v>9</v>
      </c>
      <c r="C56" s="42" t="s">
        <v>29</v>
      </c>
      <c r="D56" s="44">
        <v>0</v>
      </c>
      <c r="E56" s="44">
        <v>0</v>
      </c>
      <c r="F56" s="44">
        <v>1</v>
      </c>
      <c r="G56" s="44">
        <v>2</v>
      </c>
      <c r="J56" s="44">
        <v>3.2952692043684809E-3</v>
      </c>
      <c r="K56" s="44">
        <v>3.4189536868786921E-3</v>
      </c>
      <c r="L56" s="44">
        <v>9.4445004264343199E-3</v>
      </c>
      <c r="M56" s="44">
        <v>2.3846865224243861E-2</v>
      </c>
      <c r="Q56" s="47" t="str">
        <v/>
      </c>
      <c r="R56" s="47" t="str">
        <v/>
      </c>
      <c r="S56" s="47" t="str">
        <v/>
      </c>
      <c r="T56" s="47" t="str">
        <v/>
      </c>
      <c r="V56" s="44" t="str">
        <v/>
      </c>
      <c r="W56" s="44" t="str">
        <v/>
      </c>
      <c r="X56" s="44" t="str">
        <v/>
      </c>
      <c r="Y56" s="44" t="str">
        <v/>
      </c>
    </row>
    <row r="57" spans="1:25" ht="24" customHeight="1">
      <c r="B57" s="1">
        <v>10</v>
      </c>
      <c r="C57" s="42" t="s">
        <v>30</v>
      </c>
      <c r="D57" s="45">
        <v>0</v>
      </c>
      <c r="E57" s="45">
        <v>0</v>
      </c>
      <c r="F57" s="45">
        <v>0</v>
      </c>
      <c r="G57" s="45">
        <v>0</v>
      </c>
      <c r="J57" s="45">
        <v>3.2952692043684809E-3</v>
      </c>
      <c r="K57" s="45">
        <v>3.4189536868786921E-3</v>
      </c>
      <c r="L57" s="45">
        <v>3.4744375390201058E-3</v>
      </c>
      <c r="M57" s="45">
        <v>3.2273222594283715E-3</v>
      </c>
      <c r="Q57" s="48" t="str">
        <v/>
      </c>
      <c r="R57" s="48" t="str">
        <v/>
      </c>
      <c r="S57" s="48" t="str">
        <v/>
      </c>
      <c r="T57" s="48" t="str">
        <v/>
      </c>
      <c r="V57" s="45" t="str">
        <v/>
      </c>
      <c r="W57" s="45" t="str">
        <v/>
      </c>
      <c r="X57" s="45" t="str">
        <v/>
      </c>
      <c r="Y57" s="45" t="str">
        <v/>
      </c>
    </row>
    <row r="58" spans="1:25" ht="24" customHeight="1">
      <c r="B58" s="1"/>
      <c r="C58" s="42"/>
      <c r="D58" s="1"/>
      <c r="E58" s="1"/>
      <c r="F58" s="1"/>
      <c r="G58" s="1"/>
      <c r="I58" s="1"/>
      <c r="J58" s="1"/>
      <c r="K58" s="1"/>
      <c r="L58" s="1"/>
      <c r="U58" s="1"/>
      <c r="V58" s="1"/>
      <c r="W58" s="1"/>
      <c r="X58" s="1"/>
    </row>
    <row r="59" spans="1:25" ht="24" customHeight="1">
      <c r="B59" s="1"/>
      <c r="C59" s="42"/>
      <c r="D59" s="1"/>
      <c r="E59" s="1"/>
      <c r="F59" s="1"/>
      <c r="G59" s="1"/>
      <c r="I59" s="1"/>
      <c r="J59" s="1"/>
      <c r="K59" s="1"/>
      <c r="L59" s="1"/>
      <c r="U59" s="1"/>
      <c r="V59" s="1"/>
      <c r="W59" s="1"/>
      <c r="X59" s="1"/>
    </row>
    <row r="60" spans="1:25" ht="24" customHeight="1">
      <c r="B60" s="1"/>
      <c r="C60" s="42"/>
      <c r="D60" s="1"/>
      <c r="E60" s="1"/>
      <c r="F60" s="1"/>
      <c r="G60" s="1"/>
      <c r="I60" s="1"/>
      <c r="J60" s="1"/>
      <c r="K60" s="1"/>
      <c r="L60" s="1"/>
      <c r="U60" s="1"/>
      <c r="V60" s="1"/>
      <c r="W60" s="1"/>
      <c r="X60" s="1"/>
    </row>
    <row r="61" spans="1:25" s="80" customFormat="1" ht="48" thickBot="1">
      <c r="A61" s="80" t="s">
        <v>31</v>
      </c>
    </row>
    <row r="62" spans="1:25" ht="24" customHeight="1" thickTop="1">
      <c r="A62" s="32" t="str">
        <f>HYPERLINK("#A1","[top]")</f>
        <v>[top]</v>
      </c>
    </row>
    <row r="63" spans="1:25" ht="24" customHeight="1">
      <c r="H63" s="74" t="s">
        <v>11</v>
      </c>
      <c r="M63" s="75" t="s">
        <v>32</v>
      </c>
      <c r="R63" s="75" t="s">
        <v>33</v>
      </c>
    </row>
    <row r="64" spans="1:25" ht="24" customHeight="1">
      <c r="B64" s="1" t="s">
        <v>12</v>
      </c>
      <c r="D64" s="1" t="s">
        <v>34</v>
      </c>
      <c r="H64" s="1" t="s">
        <v>14</v>
      </c>
      <c r="I64" s="1" t="s">
        <v>35</v>
      </c>
      <c r="M64" s="1" t="s">
        <v>14</v>
      </c>
      <c r="R64" s="1" t="s">
        <v>14</v>
      </c>
    </row>
    <row r="65" spans="2:22" ht="24" customHeight="1">
      <c r="B65" s="1">
        <v>1</v>
      </c>
      <c r="C65" s="42" t="s">
        <v>21</v>
      </c>
      <c r="D65" s="43">
        <v>0</v>
      </c>
      <c r="E65" s="43">
        <v>1</v>
      </c>
      <c r="F65" s="43">
        <v>0</v>
      </c>
      <c r="G65" s="43">
        <v>0</v>
      </c>
      <c r="I65" s="43" cm="1">
        <f t="array" ref="I65:I74">_xlfn.LET(_xlpm.z,D65:D74,_xlpm.a,_xlpm.z-MAX(_xlpm.z),EXP(_xlpm.a)/SUM(EXP(_xlpm.a)))</f>
        <v>1.2265257127115693E-2</v>
      </c>
      <c r="J65" s="43" cm="1">
        <f t="array" ref="J65:J74">_xlfn.LET(_xlpm.z,E65:E74,_xlpm.a,_xlpm.z-MAX(_xlpm.z),EXP(_xlpm.a)/SUM(EXP(_xlpm.a)))</f>
        <v>1.5655795219278477E-2</v>
      </c>
      <c r="K65" s="43" cm="1">
        <f t="array" ref="K65:K74">_xlfn.LET(_xlpm.z,F65:F74,_xlpm.a,_xlpm.z-MAX(_xlpm.z),EXP(_xlpm.a)/SUM(EXP(_xlpm.a)))</f>
        <v>1.2529314541553009E-2</v>
      </c>
      <c r="L65" s="43" cm="1">
        <f t="array" ref="L65:L74">_xlfn.LET(_xlpm.z,G65:G74,_xlpm.a,_xlpm.z-MAX(_xlpm.z),EXP(_xlpm.a)/SUM(EXP(_xlpm.a)))</f>
        <v>1.1373955149817712E-2</v>
      </c>
      <c r="N65" s="53" cm="1">
        <f t="array" ref="N65:Q74">LN(I65:L74)</f>
        <v>-4.400984637193373</v>
      </c>
      <c r="O65" s="53">
        <v>-4.1569141289893325</v>
      </c>
      <c r="P65" s="53">
        <v>-4.3796842169533949</v>
      </c>
      <c r="Q65" s="53">
        <v>-4.4764291733251289</v>
      </c>
      <c r="S65" s="71" cm="1">
        <f t="array" ref="S65:V74">-_xlfn.ANCHORARRAY(N65)</f>
        <v>4.400984637193373</v>
      </c>
      <c r="T65" s="71">
        <v>4.1569141289893325</v>
      </c>
      <c r="U65" s="71">
        <v>4.3796842169533949</v>
      </c>
      <c r="V65" s="53">
        <v>4.4764291733251289</v>
      </c>
    </row>
    <row r="66" spans="2:22" ht="24" customHeight="1">
      <c r="B66" s="1">
        <v>2</v>
      </c>
      <c r="C66" s="42" t="s">
        <v>22</v>
      </c>
      <c r="D66" s="44">
        <v>0</v>
      </c>
      <c r="E66" s="44">
        <v>2</v>
      </c>
      <c r="F66" s="44">
        <v>2</v>
      </c>
      <c r="G66" s="44">
        <v>4</v>
      </c>
      <c r="I66" s="44">
        <v>1.2265257127115693E-2</v>
      </c>
      <c r="J66" s="44">
        <v>4.2556863654640682E-2</v>
      </c>
      <c r="K66" s="44">
        <v>9.257980802868275E-2</v>
      </c>
      <c r="L66" s="44">
        <v>0.62099690974000099</v>
      </c>
      <c r="N66" s="54">
        <v>-4.400984637193373</v>
      </c>
      <c r="O66" s="54">
        <v>-3.156914128989333</v>
      </c>
      <c r="P66" s="54">
        <v>-2.3796842169533945</v>
      </c>
      <c r="Q66" s="54">
        <v>-0.47642917332512852</v>
      </c>
      <c r="S66" s="72">
        <v>4.400984637193373</v>
      </c>
      <c r="T66" s="72">
        <v>3.156914128989333</v>
      </c>
      <c r="U66" s="72">
        <v>2.3796842169533945</v>
      </c>
      <c r="V66" s="54">
        <v>0.47642917332512852</v>
      </c>
    </row>
    <row r="67" spans="2:22" ht="24" customHeight="1">
      <c r="B67" s="1">
        <v>3</v>
      </c>
      <c r="C67" s="42" t="s">
        <v>23</v>
      </c>
      <c r="D67" s="44">
        <v>1</v>
      </c>
      <c r="E67" s="44">
        <v>5</v>
      </c>
      <c r="F67" s="44">
        <v>2</v>
      </c>
      <c r="G67" s="44">
        <v>0</v>
      </c>
      <c r="I67" s="44">
        <v>3.3340425570016388E-2</v>
      </c>
      <c r="J67" s="44">
        <v>0.85477745627034873</v>
      </c>
      <c r="K67" s="44">
        <v>9.257980802868275E-2</v>
      </c>
      <c r="L67" s="44">
        <v>1.1373955149817712E-2</v>
      </c>
      <c r="N67" s="54">
        <v>-3.400984637193373</v>
      </c>
      <c r="O67" s="54">
        <v>-0.1569141289893328</v>
      </c>
      <c r="P67" s="54">
        <v>-2.3796842169533945</v>
      </c>
      <c r="Q67" s="54">
        <v>-4.4764291733251289</v>
      </c>
      <c r="S67" s="72">
        <v>3.400984637193373</v>
      </c>
      <c r="T67" s="72">
        <v>0.1569141289893328</v>
      </c>
      <c r="U67" s="72">
        <v>2.3796842169533945</v>
      </c>
      <c r="V67" s="54">
        <v>4.4764291733251289</v>
      </c>
    </row>
    <row r="68" spans="2:22" ht="24" customHeight="1">
      <c r="B68" s="1">
        <v>4</v>
      </c>
      <c r="C68" s="42" t="s">
        <v>24</v>
      </c>
      <c r="D68" s="44">
        <v>1</v>
      </c>
      <c r="E68" s="44">
        <v>2</v>
      </c>
      <c r="F68" s="44">
        <v>1</v>
      </c>
      <c r="G68" s="44">
        <v>2</v>
      </c>
      <c r="I68" s="44">
        <v>3.3340425570016388E-2</v>
      </c>
      <c r="J68" s="44">
        <v>4.2556863654640682E-2</v>
      </c>
      <c r="K68" s="44">
        <v>3.4058208041351221E-2</v>
      </c>
      <c r="L68" s="44">
        <v>8.4042792668724248E-2</v>
      </c>
      <c r="N68" s="54">
        <v>-3.400984637193373</v>
      </c>
      <c r="O68" s="54">
        <v>-3.156914128989333</v>
      </c>
      <c r="P68" s="54">
        <v>-3.3796842169533945</v>
      </c>
      <c r="Q68" s="54">
        <v>-2.4764291733251285</v>
      </c>
      <c r="S68" s="72">
        <v>3.400984637193373</v>
      </c>
      <c r="T68" s="72">
        <v>3.156914128989333</v>
      </c>
      <c r="U68" s="72">
        <v>3.3796842169533945</v>
      </c>
      <c r="V68" s="54">
        <v>2.4764291733251285</v>
      </c>
    </row>
    <row r="69" spans="2:22" ht="24" customHeight="1">
      <c r="B69" s="1">
        <v>5</v>
      </c>
      <c r="C69" s="42" t="s">
        <v>25</v>
      </c>
      <c r="D69" s="44">
        <v>0</v>
      </c>
      <c r="E69" s="44">
        <v>0</v>
      </c>
      <c r="F69" s="44">
        <v>4</v>
      </c>
      <c r="G69" s="44">
        <v>2</v>
      </c>
      <c r="I69" s="44">
        <v>1.2265257127115693E-2</v>
      </c>
      <c r="J69" s="44">
        <v>5.7594451963627049E-3</v>
      </c>
      <c r="K69" s="44">
        <v>0.68407739515216703</v>
      </c>
      <c r="L69" s="44">
        <v>8.4042792668724248E-2</v>
      </c>
      <c r="N69" s="54">
        <v>-4.400984637193373</v>
      </c>
      <c r="O69" s="54">
        <v>-5.1569141289893325</v>
      </c>
      <c r="P69" s="54">
        <v>-0.3796842169533946</v>
      </c>
      <c r="Q69" s="54">
        <v>-2.4764291733251285</v>
      </c>
      <c r="S69" s="72">
        <v>4.400984637193373</v>
      </c>
      <c r="T69" s="72">
        <v>5.1569141289893325</v>
      </c>
      <c r="U69" s="72">
        <v>0.3796842169533946</v>
      </c>
      <c r="V69" s="54">
        <v>2.4764291733251285</v>
      </c>
    </row>
    <row r="70" spans="2:22" ht="24" customHeight="1">
      <c r="B70" s="1">
        <v>6</v>
      </c>
      <c r="C70" s="42" t="s">
        <v>26</v>
      </c>
      <c r="D70" s="44">
        <v>4</v>
      </c>
      <c r="E70" s="44">
        <v>0</v>
      </c>
      <c r="F70" s="44">
        <v>0</v>
      </c>
      <c r="G70" s="44">
        <v>2</v>
      </c>
      <c r="I70" s="44">
        <v>0.66966034882135428</v>
      </c>
      <c r="J70" s="44">
        <v>5.7594451963627049E-3</v>
      </c>
      <c r="K70" s="44">
        <v>1.2529314541553009E-2</v>
      </c>
      <c r="L70" s="44">
        <v>8.4042792668724248E-2</v>
      </c>
      <c r="N70" s="54">
        <v>-0.40098463719337329</v>
      </c>
      <c r="O70" s="54">
        <v>-5.1569141289893325</v>
      </c>
      <c r="P70" s="54">
        <v>-4.3796842169533949</v>
      </c>
      <c r="Q70" s="54">
        <v>-2.4764291733251285</v>
      </c>
      <c r="S70" s="72">
        <v>0.40098463719337329</v>
      </c>
      <c r="T70" s="72">
        <v>5.1569141289893325</v>
      </c>
      <c r="U70" s="72">
        <v>4.3796842169533949</v>
      </c>
      <c r="V70" s="54">
        <v>2.4764291733251285</v>
      </c>
    </row>
    <row r="71" spans="2:22" ht="24" customHeight="1">
      <c r="B71" s="1">
        <v>7</v>
      </c>
      <c r="C71" s="42" t="s">
        <v>27</v>
      </c>
      <c r="D71" s="44">
        <v>0</v>
      </c>
      <c r="E71" s="44">
        <v>0</v>
      </c>
      <c r="F71" s="44">
        <v>1</v>
      </c>
      <c r="G71" s="44">
        <v>1</v>
      </c>
      <c r="I71" s="44">
        <v>1.2265257127115693E-2</v>
      </c>
      <c r="J71" s="44">
        <v>5.7594451963627049E-3</v>
      </c>
      <c r="K71" s="44">
        <v>3.4058208041351221E-2</v>
      </c>
      <c r="L71" s="44">
        <v>3.0917615601457667E-2</v>
      </c>
      <c r="N71" s="54">
        <v>-4.400984637193373</v>
      </c>
      <c r="O71" s="54">
        <v>-5.1569141289893325</v>
      </c>
      <c r="P71" s="54">
        <v>-3.3796842169533945</v>
      </c>
      <c r="Q71" s="54">
        <v>-3.4764291733251285</v>
      </c>
      <c r="S71" s="72">
        <v>4.400984637193373</v>
      </c>
      <c r="T71" s="72">
        <v>5.1569141289893325</v>
      </c>
      <c r="U71" s="72">
        <v>3.3796842169533945</v>
      </c>
      <c r="V71" s="54">
        <v>3.4764291733251285</v>
      </c>
    </row>
    <row r="72" spans="2:22" ht="24" customHeight="1">
      <c r="B72" s="1">
        <v>8</v>
      </c>
      <c r="C72" s="42" t="s">
        <v>28</v>
      </c>
      <c r="D72" s="44">
        <v>2</v>
      </c>
      <c r="E72" s="44">
        <v>0</v>
      </c>
      <c r="F72" s="44">
        <v>0</v>
      </c>
      <c r="G72" s="44">
        <v>1</v>
      </c>
      <c r="I72" s="44">
        <v>9.0628672980066854E-2</v>
      </c>
      <c r="J72" s="44">
        <v>5.7594451963627049E-3</v>
      </c>
      <c r="K72" s="44">
        <v>1.2529314541553009E-2</v>
      </c>
      <c r="L72" s="44">
        <v>3.0917615601457667E-2</v>
      </c>
      <c r="N72" s="54">
        <v>-2.400984637193373</v>
      </c>
      <c r="O72" s="54">
        <v>-5.1569141289893325</v>
      </c>
      <c r="P72" s="54">
        <v>-4.3796842169533949</v>
      </c>
      <c r="Q72" s="54">
        <v>-3.4764291733251285</v>
      </c>
      <c r="S72" s="72">
        <v>2.400984637193373</v>
      </c>
      <c r="T72" s="72">
        <v>5.1569141289893325</v>
      </c>
      <c r="U72" s="72">
        <v>4.3796842169533949</v>
      </c>
      <c r="V72" s="54">
        <v>3.4764291733251285</v>
      </c>
    </row>
    <row r="73" spans="2:22" ht="24" customHeight="1">
      <c r="B73" s="1">
        <v>9</v>
      </c>
      <c r="C73" s="42" t="s">
        <v>29</v>
      </c>
      <c r="D73" s="44">
        <v>2</v>
      </c>
      <c r="E73" s="44">
        <v>1</v>
      </c>
      <c r="F73" s="44">
        <v>0</v>
      </c>
      <c r="G73" s="44">
        <v>1</v>
      </c>
      <c r="I73" s="44">
        <v>9.0628672980066854E-2</v>
      </c>
      <c r="J73" s="44">
        <v>1.5655795219278477E-2</v>
      </c>
      <c r="K73" s="44">
        <v>1.2529314541553009E-2</v>
      </c>
      <c r="L73" s="44">
        <v>3.0917615601457667E-2</v>
      </c>
      <c r="N73" s="54">
        <v>-2.400984637193373</v>
      </c>
      <c r="O73" s="54">
        <v>-4.1569141289893325</v>
      </c>
      <c r="P73" s="54">
        <v>-4.3796842169533949</v>
      </c>
      <c r="Q73" s="54">
        <v>-3.4764291733251285</v>
      </c>
      <c r="S73" s="72">
        <v>2.400984637193373</v>
      </c>
      <c r="T73" s="72">
        <v>4.1569141289893325</v>
      </c>
      <c r="U73" s="72">
        <v>4.3796842169533949</v>
      </c>
      <c r="V73" s="54">
        <v>3.4764291733251285</v>
      </c>
    </row>
    <row r="74" spans="2:22" ht="24" customHeight="1">
      <c r="B74" s="1">
        <v>10</v>
      </c>
      <c r="C74" s="42" t="s">
        <v>30</v>
      </c>
      <c r="D74" s="45">
        <v>1</v>
      </c>
      <c r="E74" s="45">
        <v>0</v>
      </c>
      <c r="F74" s="45">
        <v>0</v>
      </c>
      <c r="G74" s="45">
        <v>0</v>
      </c>
      <c r="I74" s="45">
        <v>3.3340425570016388E-2</v>
      </c>
      <c r="J74" s="45">
        <v>5.7594451963627049E-3</v>
      </c>
      <c r="K74" s="45">
        <v>1.2529314541553009E-2</v>
      </c>
      <c r="L74" s="45">
        <v>1.1373955149817712E-2</v>
      </c>
      <c r="N74" s="55">
        <v>-3.400984637193373</v>
      </c>
      <c r="O74" s="55">
        <v>-5.1569141289893325</v>
      </c>
      <c r="P74" s="55">
        <v>-4.3796842169533949</v>
      </c>
      <c r="Q74" s="55">
        <v>-4.4764291733251289</v>
      </c>
      <c r="S74" s="73">
        <v>3.400984637193373</v>
      </c>
      <c r="T74" s="73">
        <v>5.1569141289893325</v>
      </c>
      <c r="U74" s="73">
        <v>4.3796842169533949</v>
      </c>
      <c r="V74" s="55">
        <v>4.4764291733251289</v>
      </c>
    </row>
    <row r="77" spans="2:22" ht="24" customHeight="1">
      <c r="G77" t="s">
        <v>36</v>
      </c>
      <c r="I77" s="76">
        <f>PRODUCT(_xlfn.ANCHORARRAY(I65))</f>
        <v>4.6132381218307382E-15</v>
      </c>
      <c r="J77" s="76">
        <f>PRODUCT(_xlfn.ANCHORARRAY(J65))</f>
        <v>2.4046163860602314E-18</v>
      </c>
      <c r="K77" s="76">
        <f>PRODUCT(_xlfn.ANCHORARRAY(K65))</f>
        <v>2.0999934493696771E-15</v>
      </c>
      <c r="L77" s="76">
        <f>PRODUCT(_xlfn.ANCHORARRAY(L65))</f>
        <v>1.6030363805586441E-14</v>
      </c>
    </row>
    <row r="79" spans="2:22" ht="24" customHeight="1">
      <c r="G79" t="s">
        <v>37</v>
      </c>
      <c r="I79" s="6">
        <f>LN(I77)</f>
        <v>-33.009846371933733</v>
      </c>
      <c r="J79" s="6">
        <f>LN(J77)</f>
        <v>-40.569141289893331</v>
      </c>
      <c r="K79" s="6">
        <f>LN(K77)</f>
        <v>-33.796842169533946</v>
      </c>
      <c r="L79" s="6">
        <f>LN(L77)</f>
        <v>-31.764291733251284</v>
      </c>
      <c r="R79" t="s">
        <v>38</v>
      </c>
      <c r="S79" s="6">
        <f>SUM(S65:S74)</f>
        <v>33.00984637193374</v>
      </c>
      <c r="T79" s="6">
        <f>SUM(T65:T74)</f>
        <v>40.569141289893324</v>
      </c>
      <c r="U79" s="6">
        <f>SUM(U65:U74)</f>
        <v>33.796842169533946</v>
      </c>
      <c r="V79" s="6">
        <f>SUM(V65:V74)</f>
        <v>31.764291733251291</v>
      </c>
    </row>
    <row r="80" spans="2:22" ht="24" customHeight="1">
      <c r="I80" s="1"/>
      <c r="J80" s="1"/>
      <c r="K80" s="1"/>
      <c r="L80" s="1"/>
      <c r="S80" s="1"/>
      <c r="T80" s="1"/>
      <c r="U80" s="1"/>
      <c r="V80" s="1"/>
    </row>
    <row r="81" spans="2:22" ht="24" customHeight="1">
      <c r="I81" s="1"/>
      <c r="J81" s="1"/>
      <c r="K81" s="1"/>
      <c r="L81" s="1"/>
      <c r="S81" s="1"/>
      <c r="T81" s="1"/>
      <c r="U81" s="1"/>
      <c r="V81" s="1"/>
    </row>
    <row r="82" spans="2:22" ht="24" customHeight="1">
      <c r="D82" t="s">
        <v>39</v>
      </c>
      <c r="K82" t="s">
        <v>40</v>
      </c>
    </row>
    <row r="83" spans="2:22" ht="24" customHeight="1">
      <c r="B83" t="s">
        <v>41</v>
      </c>
    </row>
    <row r="84" spans="2:22" ht="24" customHeight="1">
      <c r="B84" s="5"/>
      <c r="D84" s="6" cm="1">
        <f t="array" ref="D84:M84">_xlfn.SEQUENCE(1,10,0.1,0.1)</f>
        <v>0.1</v>
      </c>
      <c r="E84" s="6">
        <v>0.2</v>
      </c>
      <c r="F84" s="6">
        <v>0.30000000000000004</v>
      </c>
      <c r="G84" s="6">
        <v>0.4</v>
      </c>
      <c r="H84" s="6">
        <v>0.5</v>
      </c>
      <c r="I84" s="6">
        <v>0.6</v>
      </c>
      <c r="J84" s="6">
        <v>0.7</v>
      </c>
      <c r="K84" s="6">
        <v>0.79999999999999993</v>
      </c>
      <c r="L84" s="6">
        <v>0.89999999999999991</v>
      </c>
      <c r="M84" s="6">
        <v>0.99999999999999989</v>
      </c>
    </row>
    <row r="86" spans="2:22" ht="24" customHeight="1">
      <c r="D86" t="s">
        <v>42</v>
      </c>
      <c r="L86" t="s">
        <v>42</v>
      </c>
    </row>
    <row r="87" spans="2:22" ht="24" customHeight="1">
      <c r="E87" cm="1">
        <f t="array" ref="E87:M87">E84:M84-D84:L84</f>
        <v>0.1</v>
      </c>
      <c r="F87">
        <v>0.10000000000000003</v>
      </c>
      <c r="G87">
        <v>9.9999999999999978E-2</v>
      </c>
      <c r="H87">
        <v>9.9999999999999978E-2</v>
      </c>
      <c r="I87">
        <v>9.9999999999999978E-2</v>
      </c>
      <c r="J87">
        <v>9.9999999999999978E-2</v>
      </c>
      <c r="K87">
        <v>9.9999999999999978E-2</v>
      </c>
      <c r="L87">
        <v>9.9999999999999978E-2</v>
      </c>
      <c r="M87">
        <v>9.9999999999999978E-2</v>
      </c>
    </row>
    <row r="89" spans="2:22" ht="24" customHeight="1">
      <c r="B89" t="s">
        <v>43</v>
      </c>
    </row>
    <row r="90" spans="2:22" ht="24" customHeight="1">
      <c r="B90" s="5" t="s">
        <v>37</v>
      </c>
      <c r="D90" s="6" cm="1">
        <f t="array" ref="D90:M90">LN(_xlfn.ANCHORARRAY(D84))</f>
        <v>-2.3025850929940455</v>
      </c>
      <c r="E90" s="6">
        <v>-1.6094379124341003</v>
      </c>
      <c r="F90" s="6">
        <v>-1.2039728043259359</v>
      </c>
      <c r="G90" s="6">
        <v>-0.916290731874155</v>
      </c>
      <c r="H90" s="6">
        <v>-0.69314718055994529</v>
      </c>
      <c r="I90" s="6">
        <v>-0.51082562376599072</v>
      </c>
      <c r="J90" s="6">
        <v>-0.35667494393873245</v>
      </c>
      <c r="K90" s="6">
        <v>-0.22314355131420985</v>
      </c>
      <c r="L90" s="6">
        <v>-0.10536051565782641</v>
      </c>
      <c r="M90" s="6">
        <v>-1.1102230246251565E-16</v>
      </c>
    </row>
    <row r="91" spans="2:22" ht="24" customHeight="1">
      <c r="D91" t="s">
        <v>44</v>
      </c>
      <c r="M91" t="s">
        <v>45</v>
      </c>
    </row>
    <row r="92" spans="2:22" ht="24" customHeight="1">
      <c r="E92" cm="1">
        <f t="array" ref="E92:M92">E90:M90-D90:L90</f>
        <v>0.69314718055994518</v>
      </c>
      <c r="F92">
        <v>0.40546510810816438</v>
      </c>
      <c r="G92">
        <v>0.2876820724517809</v>
      </c>
      <c r="H92">
        <v>0.22314355131420971</v>
      </c>
      <c r="I92">
        <v>0.18232155679395456</v>
      </c>
      <c r="J92">
        <v>0.15415067982725827</v>
      </c>
      <c r="K92">
        <v>0.1335313926245226</v>
      </c>
      <c r="L92">
        <v>0.11778303565638344</v>
      </c>
      <c r="M92">
        <v>0.1053605156578263</v>
      </c>
    </row>
    <row r="93" spans="2:22" ht="24" customHeight="1">
      <c r="D93" t="s">
        <v>46</v>
      </c>
      <c r="L93" t="s">
        <v>47</v>
      </c>
    </row>
    <row r="98" spans="1:36" s="80" customFormat="1" ht="48" thickBot="1">
      <c r="A98" s="80" t="s">
        <v>48</v>
      </c>
    </row>
    <row r="99" spans="1:36" ht="24" customHeight="1" thickTop="1">
      <c r="A99" s="32" t="str">
        <f>HYPERLINK("#A1","[top]")</f>
        <v>[top]</v>
      </c>
    </row>
    <row r="104" spans="1:36" ht="24" customHeight="1">
      <c r="X104" s="3" t="s">
        <v>10</v>
      </c>
    </row>
    <row r="105" spans="1:36" ht="24" customHeight="1">
      <c r="H105" s="74" t="s">
        <v>11</v>
      </c>
      <c r="M105" s="75" t="s">
        <v>32</v>
      </c>
      <c r="R105" s="75" t="s">
        <v>33</v>
      </c>
      <c r="X105" t="s">
        <v>5</v>
      </c>
      <c r="Z105" s="4">
        <v>6</v>
      </c>
      <c r="AA105" s="4">
        <v>3</v>
      </c>
      <c r="AB105" s="4">
        <v>5</v>
      </c>
      <c r="AC105" s="4">
        <v>2</v>
      </c>
    </row>
    <row r="106" spans="1:36" ht="24" customHeight="1">
      <c r="B106" s="1" t="s">
        <v>12</v>
      </c>
      <c r="D106" s="1" t="s">
        <v>34</v>
      </c>
      <c r="H106" s="35" t="s">
        <v>14</v>
      </c>
      <c r="I106" s="42" t="s">
        <v>49</v>
      </c>
      <c r="M106" s="1" t="s">
        <v>14</v>
      </c>
      <c r="N106" t="s">
        <v>50</v>
      </c>
      <c r="R106" s="1" t="s">
        <v>14</v>
      </c>
      <c r="S106" s="41" t="s">
        <v>51</v>
      </c>
      <c r="Z106" t="s">
        <v>16</v>
      </c>
      <c r="AE106" t="s">
        <v>52</v>
      </c>
      <c r="AI106" s="7" t="s">
        <v>53</v>
      </c>
    </row>
    <row r="107" spans="1:36" ht="24" customHeight="1">
      <c r="B107" s="1">
        <v>1</v>
      </c>
      <c r="C107" s="42" t="s">
        <v>21</v>
      </c>
      <c r="D107" s="43">
        <v>0</v>
      </c>
      <c r="E107" s="43">
        <v>0</v>
      </c>
      <c r="F107" s="43">
        <v>0</v>
      </c>
      <c r="G107" s="43">
        <v>0</v>
      </c>
      <c r="I107" s="43" cm="1">
        <f t="array" ref="I107:I116">_xlfn.LET(_xlpm.z,D107:D116,_xlpm.a,_xlpm.z-MAX(_xlpm.z),EXP(_xlpm.a)/SUM(EXP(_xlpm.a)))</f>
        <v>1.2265257127115693E-2</v>
      </c>
      <c r="J107" s="43" cm="1">
        <f t="array" ref="J107:J116">_xlfn.LET(_xlpm.z,E107:E116,_xlpm.a,_xlpm.z-MAX(_xlpm.z),EXP(_xlpm.a)/SUM(EXP(_xlpm.a)))</f>
        <v>9.9387134562299011E-3</v>
      </c>
      <c r="K107" s="43" cm="1">
        <f t="array" ref="K107:K116">_xlfn.LET(_xlpm.z,F107:F116,_xlpm.a,_xlpm.z-MAX(_xlpm.z),EXP(_xlpm.a)/SUM(EXP(_xlpm.a)))</f>
        <v>1.2265257127115695E-2</v>
      </c>
      <c r="L107" s="43" cm="1">
        <f t="array" ref="L107:L116">_xlfn.LET(_xlpm.z,G107:G116,_xlpm.a,_xlpm.z-MAX(_xlpm.z),EXP(_xlpm.a)/SUM(EXP(_xlpm.a)))</f>
        <v>1.1373955149817712E-2</v>
      </c>
      <c r="N107" s="53" cm="1">
        <f t="array" ref="N107:Q116">LN(I107:L116)</f>
        <v>-4.400984637193373</v>
      </c>
      <c r="O107" s="53">
        <v>-4.6113176976533508</v>
      </c>
      <c r="P107" s="53">
        <v>-4.400984637193373</v>
      </c>
      <c r="Q107" s="53">
        <v>-4.4764291733251289</v>
      </c>
      <c r="S107" s="71" cm="1">
        <f t="array" ref="S107:V116">-_xlfn.ANCHORARRAY(N107)</f>
        <v>4.400984637193373</v>
      </c>
      <c r="T107" s="71">
        <v>4.6113176976533508</v>
      </c>
      <c r="U107" s="71">
        <v>4.400984637193373</v>
      </c>
      <c r="V107" s="53">
        <v>4.4764291733251289</v>
      </c>
      <c r="Z107" s="43" cm="1">
        <f t="array" ref="Z107:Z116">IF($B107:$B116=Z105,1,0)</f>
        <v>0</v>
      </c>
      <c r="AA107" s="43" cm="1">
        <f t="array" ref="AA107:AA116">IF($B107:$B116=AA105,1,0)</f>
        <v>0</v>
      </c>
      <c r="AB107" s="43" cm="1">
        <f t="array" ref="AB107:AB116">IF($B107:$B116=AB105,1,0)</f>
        <v>0</v>
      </c>
      <c r="AC107" s="43" cm="1">
        <f t="array" ref="AC107:AC116">IF($B107:$B116=AC105,1,0)</f>
        <v>0</v>
      </c>
      <c r="AE107" s="53" cm="1">
        <f t="array" ref="AE107:AH116">Z107:AC116*_xlfn.ANCHORARRAY(S107)</f>
        <v>0</v>
      </c>
      <c r="AF107" s="53">
        <v>0</v>
      </c>
      <c r="AG107" s="53">
        <v>0</v>
      </c>
      <c r="AH107" s="53">
        <v>0</v>
      </c>
      <c r="AI107" s="35" t="s">
        <v>14</v>
      </c>
      <c r="AJ107" s="4">
        <f>SUM(_xlfn.ANCHORARRAY(AE107))</f>
        <v>1.8897161453652256</v>
      </c>
    </row>
    <row r="108" spans="1:36" ht="24" customHeight="1">
      <c r="B108" s="1">
        <v>2</v>
      </c>
      <c r="C108" s="42" t="s">
        <v>22</v>
      </c>
      <c r="D108" s="44">
        <v>0</v>
      </c>
      <c r="E108" s="44">
        <v>3</v>
      </c>
      <c r="F108" s="44">
        <v>2</v>
      </c>
      <c r="G108" s="44">
        <v>4</v>
      </c>
      <c r="I108" s="44">
        <v>1.2265257127115693E-2</v>
      </c>
      <c r="J108" s="44">
        <v>0.1996243960940878</v>
      </c>
      <c r="K108" s="44">
        <v>9.0628672980066868E-2</v>
      </c>
      <c r="L108" s="44">
        <v>0.62099690974000099</v>
      </c>
      <c r="N108" s="54">
        <v>-4.400984637193373</v>
      </c>
      <c r="O108" s="54">
        <v>-1.611317697653351</v>
      </c>
      <c r="P108" s="54">
        <v>-2.400984637193373</v>
      </c>
      <c r="Q108" s="54">
        <v>-0.47642917332512852</v>
      </c>
      <c r="S108" s="72">
        <v>4.400984637193373</v>
      </c>
      <c r="T108" s="72">
        <v>1.611317697653351</v>
      </c>
      <c r="U108" s="72">
        <v>2.400984637193373</v>
      </c>
      <c r="V108" s="54">
        <v>0.47642917332512852</v>
      </c>
      <c r="Z108" s="44">
        <v>0</v>
      </c>
      <c r="AA108" s="44">
        <v>0</v>
      </c>
      <c r="AB108" s="44">
        <v>0</v>
      </c>
      <c r="AC108" s="44">
        <v>1</v>
      </c>
      <c r="AE108" s="54">
        <v>0</v>
      </c>
      <c r="AF108" s="54">
        <v>0</v>
      </c>
      <c r="AG108" s="54">
        <v>0</v>
      </c>
      <c r="AH108" s="54">
        <v>0.47642917332512852</v>
      </c>
    </row>
    <row r="109" spans="1:36" ht="24" customHeight="1">
      <c r="B109" s="1">
        <v>3</v>
      </c>
      <c r="C109" s="42" t="s">
        <v>23</v>
      </c>
      <c r="D109" s="44">
        <v>1</v>
      </c>
      <c r="E109" s="44">
        <v>4</v>
      </c>
      <c r="F109" s="44">
        <v>2</v>
      </c>
      <c r="G109" s="44">
        <v>0</v>
      </c>
      <c r="I109" s="44">
        <v>3.3340425570016388E-2</v>
      </c>
      <c r="J109" s="44">
        <v>0.54263536841966975</v>
      </c>
      <c r="K109" s="44">
        <v>9.0628672980066868E-2</v>
      </c>
      <c r="L109" s="44">
        <v>1.1373955149817712E-2</v>
      </c>
      <c r="N109" s="54">
        <v>-3.400984637193373</v>
      </c>
      <c r="O109" s="54">
        <v>-0.61131769765335076</v>
      </c>
      <c r="P109" s="54">
        <v>-2.400984637193373</v>
      </c>
      <c r="Q109" s="54">
        <v>-4.4764291733251289</v>
      </c>
      <c r="S109" s="72">
        <v>3.400984637193373</v>
      </c>
      <c r="T109" s="72">
        <v>0.61131769765335076</v>
      </c>
      <c r="U109" s="72">
        <v>2.400984637193373</v>
      </c>
      <c r="V109" s="54">
        <v>4.4764291733251289</v>
      </c>
      <c r="Z109" s="44">
        <v>0</v>
      </c>
      <c r="AA109" s="44">
        <v>1</v>
      </c>
      <c r="AB109" s="44">
        <v>0</v>
      </c>
      <c r="AC109" s="44">
        <v>0</v>
      </c>
      <c r="AE109" s="54">
        <v>0</v>
      </c>
      <c r="AF109" s="54">
        <v>0.61131769765335076</v>
      </c>
      <c r="AG109" s="54">
        <v>0</v>
      </c>
      <c r="AH109" s="54">
        <v>0</v>
      </c>
    </row>
    <row r="110" spans="1:36" ht="24" customHeight="1">
      <c r="B110" s="1">
        <v>4</v>
      </c>
      <c r="C110" s="42" t="s">
        <v>24</v>
      </c>
      <c r="D110" s="44">
        <v>1</v>
      </c>
      <c r="E110" s="44">
        <v>2</v>
      </c>
      <c r="F110" s="44">
        <v>1</v>
      </c>
      <c r="G110" s="44">
        <v>2</v>
      </c>
      <c r="I110" s="44">
        <v>3.3340425570016388E-2</v>
      </c>
      <c r="J110" s="44">
        <v>7.3437711279279685E-2</v>
      </c>
      <c r="K110" s="44">
        <v>3.3340425570016388E-2</v>
      </c>
      <c r="L110" s="44">
        <v>8.4042792668724248E-2</v>
      </c>
      <c r="N110" s="54">
        <v>-3.400984637193373</v>
      </c>
      <c r="O110" s="54">
        <v>-2.6113176976533508</v>
      </c>
      <c r="P110" s="54">
        <v>-3.400984637193373</v>
      </c>
      <c r="Q110" s="54">
        <v>-2.4764291733251285</v>
      </c>
      <c r="S110" s="72">
        <v>3.400984637193373</v>
      </c>
      <c r="T110" s="72">
        <v>2.6113176976533508</v>
      </c>
      <c r="U110" s="72">
        <v>3.400984637193373</v>
      </c>
      <c r="V110" s="54">
        <v>2.4764291733251285</v>
      </c>
      <c r="Z110" s="44">
        <v>0</v>
      </c>
      <c r="AA110" s="44">
        <v>0</v>
      </c>
      <c r="AB110" s="44">
        <v>0</v>
      </c>
      <c r="AC110" s="44">
        <v>0</v>
      </c>
      <c r="AE110" s="54">
        <v>0</v>
      </c>
      <c r="AF110" s="54">
        <v>0</v>
      </c>
      <c r="AG110" s="54">
        <v>0</v>
      </c>
      <c r="AH110" s="54">
        <v>0</v>
      </c>
    </row>
    <row r="111" spans="1:36" ht="24" customHeight="1">
      <c r="B111" s="1">
        <v>5</v>
      </c>
      <c r="C111" s="42" t="s">
        <v>25</v>
      </c>
      <c r="D111" s="44">
        <v>0</v>
      </c>
      <c r="E111" s="44">
        <v>1</v>
      </c>
      <c r="F111" s="44">
        <v>4</v>
      </c>
      <c r="G111" s="44">
        <v>2</v>
      </c>
      <c r="I111" s="44">
        <v>1.2265257127115693E-2</v>
      </c>
      <c r="J111" s="44">
        <v>2.7016224186331136E-2</v>
      </c>
      <c r="K111" s="44">
        <v>0.66966034882135439</v>
      </c>
      <c r="L111" s="44">
        <v>8.4042792668724248E-2</v>
      </c>
      <c r="N111" s="54">
        <v>-4.400984637193373</v>
      </c>
      <c r="O111" s="54">
        <v>-3.6113176976533508</v>
      </c>
      <c r="P111" s="54">
        <v>-0.40098463719337313</v>
      </c>
      <c r="Q111" s="54">
        <v>-2.4764291733251285</v>
      </c>
      <c r="S111" s="72">
        <v>4.400984637193373</v>
      </c>
      <c r="T111" s="72">
        <v>3.6113176976533508</v>
      </c>
      <c r="U111" s="72">
        <v>0.40098463719337313</v>
      </c>
      <c r="V111" s="54">
        <v>2.4764291733251285</v>
      </c>
      <c r="Z111" s="44">
        <v>0</v>
      </c>
      <c r="AA111" s="44">
        <v>0</v>
      </c>
      <c r="AB111" s="44">
        <v>1</v>
      </c>
      <c r="AC111" s="44">
        <v>0</v>
      </c>
      <c r="AE111" s="54">
        <v>0</v>
      </c>
      <c r="AF111" s="54">
        <v>0</v>
      </c>
      <c r="AG111" s="54">
        <v>0.40098463719337313</v>
      </c>
      <c r="AH111" s="54">
        <v>0</v>
      </c>
    </row>
    <row r="112" spans="1:36" ht="24" customHeight="1">
      <c r="B112" s="1">
        <v>6</v>
      </c>
      <c r="C112" s="42" t="s">
        <v>26</v>
      </c>
      <c r="D112" s="44">
        <v>4</v>
      </c>
      <c r="E112" s="44">
        <v>0</v>
      </c>
      <c r="F112" s="44">
        <v>0</v>
      </c>
      <c r="G112" s="44">
        <v>2</v>
      </c>
      <c r="I112" s="44">
        <v>0.66966034882135428</v>
      </c>
      <c r="J112" s="44">
        <v>9.9387134562299011E-3</v>
      </c>
      <c r="K112" s="44">
        <v>1.2265257127115695E-2</v>
      </c>
      <c r="L112" s="44">
        <v>8.4042792668724248E-2</v>
      </c>
      <c r="N112" s="54">
        <v>-0.40098463719337329</v>
      </c>
      <c r="O112" s="54">
        <v>-4.6113176976533508</v>
      </c>
      <c r="P112" s="54">
        <v>-4.400984637193373</v>
      </c>
      <c r="Q112" s="54">
        <v>-2.4764291733251285</v>
      </c>
      <c r="S112" s="72">
        <v>0.40098463719337329</v>
      </c>
      <c r="T112" s="72">
        <v>4.6113176976533508</v>
      </c>
      <c r="U112" s="72">
        <v>4.400984637193373</v>
      </c>
      <c r="V112" s="54">
        <v>2.4764291733251285</v>
      </c>
      <c r="Z112" s="44">
        <v>1</v>
      </c>
      <c r="AA112" s="44">
        <v>0</v>
      </c>
      <c r="AB112" s="44">
        <v>0</v>
      </c>
      <c r="AC112" s="44">
        <v>0</v>
      </c>
      <c r="AE112" s="54">
        <v>0.40098463719337329</v>
      </c>
      <c r="AF112" s="54">
        <v>0</v>
      </c>
      <c r="AG112" s="54">
        <v>0</v>
      </c>
      <c r="AH112" s="54">
        <v>0</v>
      </c>
    </row>
    <row r="113" spans="1:34" ht="24" customHeight="1">
      <c r="B113" s="1">
        <v>7</v>
      </c>
      <c r="C113" s="42" t="s">
        <v>27</v>
      </c>
      <c r="D113" s="44">
        <v>0</v>
      </c>
      <c r="E113" s="44">
        <v>1</v>
      </c>
      <c r="F113" s="44">
        <v>1</v>
      </c>
      <c r="G113" s="44">
        <v>1</v>
      </c>
      <c r="I113" s="44">
        <v>1.2265257127115693E-2</v>
      </c>
      <c r="J113" s="44">
        <v>2.7016224186331136E-2</v>
      </c>
      <c r="K113" s="44">
        <v>3.3340425570016388E-2</v>
      </c>
      <c r="L113" s="44">
        <v>3.0917615601457667E-2</v>
      </c>
      <c r="N113" s="54">
        <v>-4.400984637193373</v>
      </c>
      <c r="O113" s="54">
        <v>-3.6113176976533508</v>
      </c>
      <c r="P113" s="54">
        <v>-3.400984637193373</v>
      </c>
      <c r="Q113" s="54">
        <v>-3.4764291733251285</v>
      </c>
      <c r="S113" s="72">
        <v>4.400984637193373</v>
      </c>
      <c r="T113" s="72">
        <v>3.6113176976533508</v>
      </c>
      <c r="U113" s="72">
        <v>3.400984637193373</v>
      </c>
      <c r="V113" s="54">
        <v>3.4764291733251285</v>
      </c>
      <c r="Z113" s="44">
        <v>0</v>
      </c>
      <c r="AA113" s="44">
        <v>0</v>
      </c>
      <c r="AB113" s="44">
        <v>0</v>
      </c>
      <c r="AC113" s="44">
        <v>0</v>
      </c>
      <c r="AE113" s="54">
        <v>0</v>
      </c>
      <c r="AF113" s="54">
        <v>0</v>
      </c>
      <c r="AG113" s="54">
        <v>0</v>
      </c>
      <c r="AH113" s="54">
        <v>0</v>
      </c>
    </row>
    <row r="114" spans="1:34" ht="24" customHeight="1">
      <c r="B114" s="1">
        <v>8</v>
      </c>
      <c r="C114" s="42" t="s">
        <v>28</v>
      </c>
      <c r="D114" s="44">
        <v>2</v>
      </c>
      <c r="E114" s="44">
        <v>2</v>
      </c>
      <c r="F114" s="44">
        <v>1</v>
      </c>
      <c r="G114" s="44">
        <v>1</v>
      </c>
      <c r="I114" s="44">
        <v>9.0628672980066854E-2</v>
      </c>
      <c r="J114" s="44">
        <v>7.3437711279279685E-2</v>
      </c>
      <c r="K114" s="44">
        <v>3.3340425570016388E-2</v>
      </c>
      <c r="L114" s="44">
        <v>3.0917615601457667E-2</v>
      </c>
      <c r="N114" s="54">
        <v>-2.400984637193373</v>
      </c>
      <c r="O114" s="54">
        <v>-2.6113176976533508</v>
      </c>
      <c r="P114" s="54">
        <v>-3.400984637193373</v>
      </c>
      <c r="Q114" s="54">
        <v>-3.4764291733251285</v>
      </c>
      <c r="S114" s="72">
        <v>2.400984637193373</v>
      </c>
      <c r="T114" s="72">
        <v>2.6113176976533508</v>
      </c>
      <c r="U114" s="72">
        <v>3.400984637193373</v>
      </c>
      <c r="V114" s="54">
        <v>3.4764291733251285</v>
      </c>
      <c r="Z114" s="44">
        <v>0</v>
      </c>
      <c r="AA114" s="44">
        <v>0</v>
      </c>
      <c r="AB114" s="44">
        <v>0</v>
      </c>
      <c r="AC114" s="44">
        <v>0</v>
      </c>
      <c r="AE114" s="54">
        <v>0</v>
      </c>
      <c r="AF114" s="54">
        <v>0</v>
      </c>
      <c r="AG114" s="54">
        <v>0</v>
      </c>
      <c r="AH114" s="54">
        <v>0</v>
      </c>
    </row>
    <row r="115" spans="1:34" ht="24" customHeight="1">
      <c r="B115" s="1">
        <v>9</v>
      </c>
      <c r="C115" s="42" t="s">
        <v>29</v>
      </c>
      <c r="D115" s="44">
        <v>2</v>
      </c>
      <c r="E115" s="44">
        <v>1</v>
      </c>
      <c r="F115" s="44">
        <v>0</v>
      </c>
      <c r="G115" s="44">
        <v>1</v>
      </c>
      <c r="I115" s="44">
        <v>9.0628672980066854E-2</v>
      </c>
      <c r="J115" s="44">
        <v>2.7016224186331136E-2</v>
      </c>
      <c r="K115" s="44">
        <v>1.2265257127115695E-2</v>
      </c>
      <c r="L115" s="44">
        <v>3.0917615601457667E-2</v>
      </c>
      <c r="N115" s="54">
        <v>-2.400984637193373</v>
      </c>
      <c r="O115" s="54">
        <v>-3.6113176976533508</v>
      </c>
      <c r="P115" s="54">
        <v>-4.400984637193373</v>
      </c>
      <c r="Q115" s="54">
        <v>-3.4764291733251285</v>
      </c>
      <c r="S115" s="72">
        <v>2.400984637193373</v>
      </c>
      <c r="T115" s="72">
        <v>3.6113176976533508</v>
      </c>
      <c r="U115" s="72">
        <v>4.400984637193373</v>
      </c>
      <c r="V115" s="54">
        <v>3.4764291733251285</v>
      </c>
      <c r="Z115" s="44">
        <v>0</v>
      </c>
      <c r="AA115" s="44">
        <v>0</v>
      </c>
      <c r="AB115" s="44">
        <v>0</v>
      </c>
      <c r="AC115" s="44">
        <v>0</v>
      </c>
      <c r="AE115" s="54">
        <v>0</v>
      </c>
      <c r="AF115" s="54">
        <v>0</v>
      </c>
      <c r="AG115" s="54">
        <v>0</v>
      </c>
      <c r="AH115" s="54">
        <v>0</v>
      </c>
    </row>
    <row r="116" spans="1:34" ht="24" customHeight="1">
      <c r="B116" s="1">
        <v>10</v>
      </c>
      <c r="C116" s="42" t="s">
        <v>30</v>
      </c>
      <c r="D116" s="45">
        <v>1</v>
      </c>
      <c r="E116" s="45">
        <v>0</v>
      </c>
      <c r="F116" s="45">
        <v>0</v>
      </c>
      <c r="G116" s="45">
        <v>0</v>
      </c>
      <c r="I116" s="45">
        <v>3.3340425570016388E-2</v>
      </c>
      <c r="J116" s="45">
        <v>9.9387134562299011E-3</v>
      </c>
      <c r="K116" s="45">
        <v>1.2265257127115695E-2</v>
      </c>
      <c r="L116" s="45">
        <v>1.1373955149817712E-2</v>
      </c>
      <c r="N116" s="55">
        <v>-3.400984637193373</v>
      </c>
      <c r="O116" s="55">
        <v>-4.6113176976533508</v>
      </c>
      <c r="P116" s="55">
        <v>-4.400984637193373</v>
      </c>
      <c r="Q116" s="55">
        <v>-4.4764291733251289</v>
      </c>
      <c r="S116" s="73">
        <v>3.400984637193373</v>
      </c>
      <c r="T116" s="73">
        <v>4.6113176976533508</v>
      </c>
      <c r="U116" s="73">
        <v>4.400984637193373</v>
      </c>
      <c r="V116" s="55">
        <v>4.4764291733251289</v>
      </c>
      <c r="Z116" s="45">
        <v>0</v>
      </c>
      <c r="AA116" s="45">
        <v>0</v>
      </c>
      <c r="AB116" s="45">
        <v>0</v>
      </c>
      <c r="AC116" s="45">
        <v>0</v>
      </c>
      <c r="AE116" s="55">
        <v>0</v>
      </c>
      <c r="AF116" s="55">
        <v>0</v>
      </c>
      <c r="AG116" s="55">
        <v>0</v>
      </c>
      <c r="AH116" s="55">
        <v>0</v>
      </c>
    </row>
    <row r="119" spans="1:34" ht="24" customHeight="1">
      <c r="B119" s="1"/>
      <c r="C119" s="42"/>
      <c r="D119" s="1"/>
      <c r="E119" s="1"/>
      <c r="F119" s="1"/>
      <c r="G119" s="1"/>
      <c r="I119" s="1"/>
      <c r="J119" s="1"/>
      <c r="K119" s="1"/>
      <c r="L119" s="1"/>
      <c r="U119" s="1"/>
      <c r="V119" s="1"/>
      <c r="W119" s="1"/>
      <c r="X119" s="1"/>
    </row>
    <row r="120" spans="1:34" ht="24" customHeight="1">
      <c r="B120" s="1"/>
      <c r="C120" s="42"/>
      <c r="D120" s="1"/>
      <c r="E120" s="1"/>
      <c r="F120" s="1"/>
      <c r="G120" s="1"/>
      <c r="I120" s="1"/>
      <c r="J120" s="1"/>
      <c r="K120" s="1"/>
      <c r="L120" s="1"/>
      <c r="U120" s="1"/>
      <c r="V120" s="1"/>
      <c r="W120" s="1"/>
      <c r="X120" s="1"/>
    </row>
    <row r="121" spans="1:34" s="80" customFormat="1" ht="48" thickBot="1">
      <c r="A121" s="80" t="s">
        <v>54</v>
      </c>
    </row>
    <row r="122" spans="1:34" ht="24" customHeight="1" thickTop="1">
      <c r="A122" s="32" t="str">
        <f>HYPERLINK("#A1","[top]")</f>
        <v>[top]</v>
      </c>
    </row>
    <row r="124" spans="1:34" ht="24" customHeight="1">
      <c r="B124" s="36"/>
      <c r="N124" s="36"/>
    </row>
    <row r="125" spans="1:34" ht="24" customHeight="1">
      <c r="B125" s="36"/>
      <c r="N125" s="36"/>
    </row>
    <row r="126" spans="1:34" ht="24" customHeight="1">
      <c r="B126" s="36"/>
      <c r="N126" s="36"/>
    </row>
    <row r="127" spans="1:34" ht="24" customHeight="1">
      <c r="B127" s="36"/>
      <c r="N127" s="36"/>
    </row>
    <row r="128" spans="1:34" ht="24" customHeight="1">
      <c r="B128" s="36"/>
      <c r="N128" s="36"/>
    </row>
    <row r="129" spans="4:18" ht="24" customHeight="1">
      <c r="E129" s="74" t="s">
        <v>11</v>
      </c>
      <c r="J129" s="74" t="s">
        <v>11</v>
      </c>
    </row>
    <row r="130" spans="4:18" ht="24" customHeight="1">
      <c r="D130" t="s">
        <v>55</v>
      </c>
      <c r="E130" s="35" t="s">
        <v>14</v>
      </c>
      <c r="F130" s="1" t="s">
        <v>56</v>
      </c>
      <c r="I130" t="s">
        <v>55</v>
      </c>
      <c r="J130" s="35" t="s">
        <v>14</v>
      </c>
      <c r="K130" s="1" t="s">
        <v>57</v>
      </c>
    </row>
    <row r="131" spans="4:18" ht="24" customHeight="1">
      <c r="D131" s="6">
        <v>1</v>
      </c>
      <c r="F131" s="4" cm="1">
        <f t="array" ref="F131:F135">_xlfn.LET(_xlpm.x,D131:D135, EXP(_xlpm.x) / SUM(EXP(_xlpm.x)))</f>
        <v>1.6579230056156354E-2</v>
      </c>
      <c r="I131" s="6">
        <v>2</v>
      </c>
      <c r="K131" s="4" cm="1">
        <f t="array" ref="K131:K135">_xlfn.LET(_xlpm.x,I131:I135, EXP(_xlpm.x) / SUM(EXP(_xlpm.x)))</f>
        <v>2.0177509645426455E-2</v>
      </c>
    </row>
    <row r="132" spans="4:18" ht="24" customHeight="1">
      <c r="D132" s="6">
        <v>2</v>
      </c>
      <c r="F132" s="4">
        <v>4.5067019791491851E-2</v>
      </c>
      <c r="I132" s="6">
        <v>5</v>
      </c>
      <c r="K132" s="4">
        <v>0.40527611500118832</v>
      </c>
    </row>
    <row r="133" spans="4:18" ht="24" customHeight="1">
      <c r="D133" s="6">
        <v>5</v>
      </c>
      <c r="F133" s="4">
        <v>0.90519529004003896</v>
      </c>
      <c r="I133" s="6">
        <v>5</v>
      </c>
      <c r="K133" s="4">
        <v>0.40527611500118832</v>
      </c>
    </row>
    <row r="134" spans="4:18" ht="24" customHeight="1">
      <c r="D134" s="6">
        <v>1</v>
      </c>
      <c r="F134" s="4">
        <v>1.6579230056156354E-2</v>
      </c>
      <c r="I134" s="6">
        <v>4</v>
      </c>
      <c r="K134" s="4">
        <v>0.14909275070677036</v>
      </c>
    </row>
    <row r="135" spans="4:18" ht="24" customHeight="1">
      <c r="D135" s="6">
        <v>1</v>
      </c>
      <c r="F135" s="4">
        <v>1.6579230056156354E-2</v>
      </c>
      <c r="I135" s="6">
        <v>2</v>
      </c>
      <c r="K135" s="4">
        <v>2.0177509645426455E-2</v>
      </c>
    </row>
    <row r="136" spans="4:18" ht="24" customHeight="1">
      <c r="M136" s="1" t="s">
        <v>58</v>
      </c>
      <c r="O136" s="1" t="s">
        <v>59</v>
      </c>
      <c r="Q136" s="1" t="s">
        <v>60</v>
      </c>
    </row>
    <row r="137" spans="4:18" ht="24" customHeight="1" thickBot="1">
      <c r="E137" t="s">
        <v>37</v>
      </c>
      <c r="F137" s="15" t="s">
        <v>6</v>
      </c>
      <c r="J137" t="s">
        <v>37</v>
      </c>
      <c r="K137" s="15" t="s">
        <v>6</v>
      </c>
      <c r="M137" s="35" t="s">
        <v>14</v>
      </c>
      <c r="O137" s="35" t="s">
        <v>14</v>
      </c>
      <c r="Q137" s="35" t="s">
        <v>14</v>
      </c>
      <c r="R137" s="17" t="s">
        <v>61</v>
      </c>
    </row>
    <row r="138" spans="4:18" ht="24" customHeight="1" thickBot="1">
      <c r="F138" s="6" cm="1">
        <f t="array" ref="F138:F142">LN(_xlfn.ANCHORARRAY(F131))</f>
        <v>-4.0996045684620546</v>
      </c>
      <c r="K138" s="6" cm="1">
        <f t="array" ref="K138:K142">LN(_xlfn.ANCHORARRAY(K131))</f>
        <v>-3.9031866787370442</v>
      </c>
      <c r="N138" s="6" cm="1">
        <f t="array" ref="N138:N142">_xlfn.ANCHORARRAY(F138)-_xlfn.ANCHORARRAY(K138)</f>
        <v>-0.1964178897250104</v>
      </c>
      <c r="P138" s="6" cm="1">
        <f t="array" ref="P138:P142">_xlfn.ANCHORARRAY(K131)*_xlfn.ANCHORARRAY(N138)</f>
        <v>-3.9632238644607071E-3</v>
      </c>
      <c r="R138" s="16">
        <f>SUM(_xlfn.ANCHORARRAY(P138))</f>
        <v>-0.89987950613973966</v>
      </c>
    </row>
    <row r="139" spans="4:18" ht="24" customHeight="1">
      <c r="F139" s="6">
        <v>-3.099604568462055</v>
      </c>
      <c r="K139" s="6">
        <v>-0.90318667873704406</v>
      </c>
      <c r="N139" s="6">
        <v>-2.1964178897250108</v>
      </c>
      <c r="P139" s="6">
        <v>-0.89015570926686083</v>
      </c>
    </row>
    <row r="140" spans="4:18" ht="24" customHeight="1">
      <c r="F140" s="6">
        <v>-9.9604568462054982E-2</v>
      </c>
      <c r="K140" s="6">
        <v>-0.90318667873704406</v>
      </c>
      <c r="N140" s="6">
        <v>0.80358211027498905</v>
      </c>
      <c r="P140" s="6">
        <v>0.32567263573670407</v>
      </c>
    </row>
    <row r="141" spans="4:18" ht="24" customHeight="1">
      <c r="F141" s="6">
        <v>-4.0996045684620546</v>
      </c>
      <c r="K141" s="6">
        <v>-1.9031866787370439</v>
      </c>
      <c r="N141" s="6">
        <v>-2.1964178897250104</v>
      </c>
      <c r="P141" s="6">
        <v>-0.32746998488066159</v>
      </c>
    </row>
    <row r="142" spans="4:18" ht="24" customHeight="1">
      <c r="F142" s="6">
        <v>-4.0996045684620546</v>
      </c>
      <c r="K142" s="6">
        <v>-3.9031866787370442</v>
      </c>
      <c r="N142" s="6">
        <v>-0.1964178897250104</v>
      </c>
      <c r="P142" s="6">
        <v>-3.9632238644607071E-3</v>
      </c>
    </row>
    <row r="145" spans="1:23" s="79" customFormat="1" ht="24" customHeight="1">
      <c r="A145" s="79" t="s">
        <v>62</v>
      </c>
    </row>
    <row r="149" spans="1:23" ht="24" customHeight="1">
      <c r="V149" t="s">
        <v>63</v>
      </c>
    </row>
    <row r="150" spans="1:23" ht="24" customHeight="1">
      <c r="E150" t="s">
        <v>64</v>
      </c>
      <c r="G150" s="6">
        <v>2</v>
      </c>
      <c r="J150" t="s">
        <v>64</v>
      </c>
      <c r="L150" s="6">
        <v>0</v>
      </c>
      <c r="W150" s="8">
        <f>(0.5)* (G151^2+G150^2-1-LN(G151^2))</f>
        <v>2.4962907318741552</v>
      </c>
    </row>
    <row r="151" spans="1:23" ht="24" customHeight="1">
      <c r="E151" t="s">
        <v>65</v>
      </c>
      <c r="G151" s="6">
        <v>0.4</v>
      </c>
      <c r="J151" t="s">
        <v>65</v>
      </c>
      <c r="L151" s="6">
        <v>1</v>
      </c>
    </row>
    <row r="152" spans="1:23" ht="24" customHeight="1">
      <c r="O152" s="1" t="s">
        <v>58</v>
      </c>
      <c r="U152" t="s">
        <v>66</v>
      </c>
      <c r="W152" t="s">
        <v>67</v>
      </c>
    </row>
    <row r="153" spans="1:23" ht="24" customHeight="1">
      <c r="F153" cm="1">
        <f t="array" ref="F153:F172">_xlfn.SEQUENCE(20,1,-5,0.5)</f>
        <v>-5</v>
      </c>
      <c r="G153" s="4" cm="1">
        <f t="array" ref="G153:G172">_xlfn.MAP(_xlfn.ANCHORARRAY(F153), _xlfn.LAMBDA(_xlpm.x, _xlfn.NORM.DIST(_xlpm.x, G150,G151,FALSE)))/2</f>
        <v>1.5720904785977419E-67</v>
      </c>
      <c r="K153" cm="1">
        <f t="array" ref="K153:K172">_xlfn.SEQUENCE(20,1,-5,0.5)</f>
        <v>-5</v>
      </c>
      <c r="L153" s="4" cm="1">
        <f t="array" ref="L153:L172">_xlfn.MAP(_xlfn.ANCHORARRAY(F153), _xlfn.LAMBDA(_xlpm.x, _xlfn.NORM.DIST(_xlpm.x, L150,L151,FALSE)))/2</f>
        <v>7.4335975736714884E-7</v>
      </c>
      <c r="O153" s="35" t="s">
        <v>14</v>
      </c>
      <c r="Q153" s="6" cm="1">
        <f t="array" ref="Q153:Q172">LN(_xlfn.ANCHORARRAY(G153))-LN(_xlfn.ANCHORARRAY(L153))</f>
        <v>-139.70870926812583</v>
      </c>
      <c r="U153" s="6" cm="1">
        <f t="array" ref="U153:U172">_xlfn.ANCHORARRAY(G153)*_xlfn.ANCHORARRAY(Q153)</f>
        <v>-2.1963473161760071E-65</v>
      </c>
      <c r="W153" s="8">
        <f>SUM(_xlfn.ANCHORARRAY(U153))</f>
        <v>2.4963762555892757</v>
      </c>
    </row>
    <row r="154" spans="1:23" ht="24" customHeight="1">
      <c r="F154">
        <v>-4.5</v>
      </c>
      <c r="G154" s="4">
        <v>2.2770720105408935E-58</v>
      </c>
      <c r="K154">
        <v>-4.5</v>
      </c>
      <c r="L154" s="4">
        <v>7.9918705534527373E-6</v>
      </c>
      <c r="Q154" s="6">
        <v>-120.98995926812584</v>
      </c>
      <c r="U154" s="6">
        <v>-2.7550284980593214E-56</v>
      </c>
    </row>
    <row r="155" spans="1:23" ht="24" customHeight="1">
      <c r="F155">
        <v>-4</v>
      </c>
      <c r="G155" s="4">
        <v>6.91338693730552E-50</v>
      </c>
      <c r="K155">
        <v>-4</v>
      </c>
      <c r="L155" s="4">
        <v>6.6915112882442684E-5</v>
      </c>
      <c r="Q155" s="6">
        <v>-103.58370926812584</v>
      </c>
      <c r="U155" s="6">
        <v>-7.1611426257191397E-48</v>
      </c>
    </row>
    <row r="156" spans="1:23" ht="24" customHeight="1">
      <c r="F156">
        <v>-3.5</v>
      </c>
      <c r="G156" s="4">
        <v>4.3996672974942091E-42</v>
      </c>
      <c r="K156">
        <v>-3.5</v>
      </c>
      <c r="L156" s="4">
        <v>4.3634134752288008E-4</v>
      </c>
      <c r="Q156" s="6">
        <v>-87.489959268125844</v>
      </c>
      <c r="U156" s="6">
        <v>-3.8492671265107368E-40</v>
      </c>
    </row>
    <row r="157" spans="1:23" ht="24" customHeight="1">
      <c r="F157">
        <v>-3</v>
      </c>
      <c r="G157" s="4">
        <v>5.8689941974689329E-35</v>
      </c>
      <c r="K157">
        <v>-3</v>
      </c>
      <c r="L157" s="4">
        <v>2.2159242059690038E-3</v>
      </c>
      <c r="Q157" s="6">
        <v>-72.708709268125844</v>
      </c>
      <c r="U157" s="6">
        <v>-4.267269928000862E-33</v>
      </c>
    </row>
    <row r="158" spans="1:23" ht="24" customHeight="1">
      <c r="F158">
        <v>-2.5</v>
      </c>
      <c r="G158" s="4">
        <v>1.6410522007692536E-28</v>
      </c>
      <c r="K158">
        <v>-2.5</v>
      </c>
      <c r="L158" s="4">
        <v>8.7641502467842702E-3</v>
      </c>
      <c r="Q158" s="6">
        <v>-59.239959268125844</v>
      </c>
      <c r="U158" s="6">
        <v>-9.721586553043886E-27</v>
      </c>
    </row>
    <row r="159" spans="1:23" ht="24" customHeight="1">
      <c r="F159">
        <v>-2</v>
      </c>
      <c r="G159" s="4">
        <v>9.6182482833830243E-23</v>
      </c>
      <c r="K159">
        <v>-2</v>
      </c>
      <c r="L159" s="4">
        <v>2.6995483256594031E-2</v>
      </c>
      <c r="Q159" s="6">
        <v>-47.083709268125844</v>
      </c>
      <c r="U159" s="6">
        <v>-4.5286280584345682E-21</v>
      </c>
    </row>
    <row r="160" spans="1:23" ht="24" customHeight="1">
      <c r="F160">
        <v>-1.5</v>
      </c>
      <c r="G160" s="4">
        <v>1.1816379852378566E-17</v>
      </c>
      <c r="K160">
        <v>-1.5</v>
      </c>
      <c r="L160" s="4">
        <v>6.4758797832945872E-2</v>
      </c>
      <c r="Q160" s="6">
        <v>-36.239959268125844</v>
      </c>
      <c r="U160" s="6">
        <v>-4.2822512454690211E-16</v>
      </c>
    </row>
    <row r="161" spans="6:21" ht="24" customHeight="1">
      <c r="F161">
        <v>-1</v>
      </c>
      <c r="G161" s="4">
        <v>3.042900666286262E-13</v>
      </c>
      <c r="K161">
        <v>-1</v>
      </c>
      <c r="L161" s="4">
        <v>0.12098536225957168</v>
      </c>
      <c r="Q161" s="6">
        <v>-26.708709268125844</v>
      </c>
      <c r="U161" s="6">
        <v>-8.1271949227626193E-12</v>
      </c>
    </row>
    <row r="162" spans="6:21" ht="24" customHeight="1">
      <c r="F162">
        <v>-0.5</v>
      </c>
      <c r="G162" s="4">
        <v>1.642502272694855E-9</v>
      </c>
      <c r="K162">
        <v>-0.5</v>
      </c>
      <c r="L162" s="4">
        <v>0.17603266338214976</v>
      </c>
      <c r="Q162" s="6">
        <v>-18.489959268125844</v>
      </c>
      <c r="U162" s="6">
        <v>-3.0369800119932E-8</v>
      </c>
    </row>
    <row r="163" spans="6:21" ht="24" customHeight="1">
      <c r="F163">
        <v>0</v>
      </c>
      <c r="G163" s="4">
        <v>1.8583993934178722E-6</v>
      </c>
      <c r="K163">
        <v>0</v>
      </c>
      <c r="L163" s="4">
        <v>0.19947114020071635</v>
      </c>
      <c r="Q163" s="6">
        <v>-11.583709268125846</v>
      </c>
      <c r="U163" s="6">
        <v>-2.1527158277414056E-5</v>
      </c>
    </row>
    <row r="164" spans="6:21" ht="24" customHeight="1">
      <c r="F164">
        <v>0.5</v>
      </c>
      <c r="G164" s="4">
        <v>4.4074460295930669E-4</v>
      </c>
      <c r="K164">
        <v>0.5</v>
      </c>
      <c r="L164" s="4">
        <v>0.17603266338214976</v>
      </c>
      <c r="Q164" s="6">
        <v>-5.9899592681258458</v>
      </c>
      <c r="U164" s="6">
        <v>-2.6400422193725453E-3</v>
      </c>
    </row>
    <row r="165" spans="6:21" ht="24" customHeight="1">
      <c r="F165">
        <v>1</v>
      </c>
      <c r="G165" s="4">
        <v>2.1910375616960676E-2</v>
      </c>
      <c r="K165">
        <v>1</v>
      </c>
      <c r="L165" s="4">
        <v>0.12098536225957168</v>
      </c>
      <c r="Q165" s="6">
        <v>-1.7087092681258449</v>
      </c>
      <c r="U165" s="6">
        <v>-3.7438461884819231E-2</v>
      </c>
    </row>
    <row r="166" spans="6:21" ht="24" customHeight="1">
      <c r="F166">
        <v>1.5</v>
      </c>
      <c r="G166" s="4">
        <v>0.22831135673627737</v>
      </c>
      <c r="K166">
        <v>1.5</v>
      </c>
      <c r="L166" s="4">
        <v>6.4758797832945872E-2</v>
      </c>
      <c r="Q166" s="6">
        <v>1.2600407318741551</v>
      </c>
      <c r="U166" s="6">
        <v>0.28768160903716022</v>
      </c>
    </row>
    <row r="167" spans="6:21" ht="24" customHeight="1">
      <c r="F167">
        <v>2</v>
      </c>
      <c r="G167" s="4">
        <v>0.49867785050179086</v>
      </c>
      <c r="K167">
        <v>2</v>
      </c>
      <c r="L167" s="4">
        <v>2.6995483256594031E-2</v>
      </c>
      <c r="Q167" s="6">
        <v>2.9162907318741551</v>
      </c>
      <c r="U167" s="6">
        <v>1.4542895936092981</v>
      </c>
    </row>
    <row r="168" spans="6:21" ht="24" customHeight="1">
      <c r="F168">
        <v>2.5</v>
      </c>
      <c r="G168" s="4">
        <v>0.22831135673627737</v>
      </c>
      <c r="K168">
        <v>2.5</v>
      </c>
      <c r="L168" s="4">
        <v>8.7641502467842702E-3</v>
      </c>
      <c r="Q168" s="6">
        <v>3.2600407318741547</v>
      </c>
      <c r="U168" s="6">
        <v>0.7443043225097149</v>
      </c>
    </row>
    <row r="169" spans="6:21" ht="24" customHeight="1">
      <c r="F169">
        <v>3</v>
      </c>
      <c r="G169" s="4">
        <v>2.1910375616960676E-2</v>
      </c>
      <c r="K169">
        <v>3</v>
      </c>
      <c r="L169" s="4">
        <v>2.2159242059690038E-3</v>
      </c>
      <c r="Q169" s="6">
        <v>2.2912907318741547</v>
      </c>
      <c r="U169" s="6">
        <v>5.020304058302346E-2</v>
      </c>
    </row>
    <row r="170" spans="6:21" ht="24" customHeight="1">
      <c r="F170">
        <v>3.5</v>
      </c>
      <c r="G170" s="4">
        <v>4.4074460295930669E-4</v>
      </c>
      <c r="K170">
        <v>3.5</v>
      </c>
      <c r="L170" s="4">
        <v>4.3634134752288008E-4</v>
      </c>
      <c r="Q170" s="6">
        <v>1.0040731874154218E-2</v>
      </c>
      <c r="U170" s="6">
        <v>4.4253983832949561E-6</v>
      </c>
    </row>
    <row r="171" spans="6:21" ht="24" customHeight="1">
      <c r="F171">
        <v>4</v>
      </c>
      <c r="G171" s="4">
        <v>1.8583993934178722E-6</v>
      </c>
      <c r="K171">
        <v>4</v>
      </c>
      <c r="L171" s="4">
        <v>6.6915112882442684E-5</v>
      </c>
      <c r="Q171" s="6">
        <v>-3.5837092681258458</v>
      </c>
      <c r="U171" s="6">
        <v>-6.6599631300710784E-6</v>
      </c>
    </row>
    <row r="172" spans="6:21" ht="24" customHeight="1">
      <c r="F172">
        <v>4.5</v>
      </c>
      <c r="G172" s="4">
        <v>1.642502272694855E-9</v>
      </c>
      <c r="K172">
        <v>4.5</v>
      </c>
      <c r="L172" s="4">
        <v>7.9918705534527373E-6</v>
      </c>
      <c r="Q172" s="6">
        <v>-8.489959268125844</v>
      </c>
      <c r="U172" s="6">
        <v>-1.3944777392983447E-8</v>
      </c>
    </row>
    <row r="174" spans="6:21" ht="24" customHeight="1">
      <c r="G174">
        <f>SUM(_xlfn.ANCHORARRAY(G153))</f>
        <v>1.0000065244982814</v>
      </c>
      <c r="L174">
        <f>SUM(_xlfn.ANCHORARRAY(L153))</f>
        <v>0.99999914259042066</v>
      </c>
    </row>
    <row r="177" spans="1:12" s="80" customFormat="1" ht="48" thickBot="1">
      <c r="A177" s="80" t="s">
        <v>68</v>
      </c>
    </row>
    <row r="178" spans="1:12" ht="24" customHeight="1" thickTop="1">
      <c r="A178" s="32" t="str">
        <f>HYPERLINK("#A1","[top]")</f>
        <v>[top]</v>
      </c>
    </row>
    <row r="179" spans="1:12" ht="24" customHeight="1">
      <c r="D179" s="5" t="s">
        <v>69</v>
      </c>
      <c r="E179" s="6">
        <v>1</v>
      </c>
      <c r="F179" s="6">
        <v>1</v>
      </c>
      <c r="G179" s="6">
        <v>1</v>
      </c>
      <c r="H179" s="6">
        <v>1</v>
      </c>
      <c r="I179" s="6">
        <v>0</v>
      </c>
      <c r="J179" s="6">
        <v>0</v>
      </c>
      <c r="K179" s="6">
        <v>0</v>
      </c>
      <c r="L179" s="6">
        <v>0</v>
      </c>
    </row>
    <row r="181" spans="1:12" ht="24" customHeight="1">
      <c r="D181" t="s">
        <v>70</v>
      </c>
      <c r="E181" s="53" cm="1">
        <f t="array" aca="1" ref="E181:L183" ca="1">_xlfn.RANDARRAY(3,8)</f>
        <v>0.25616661268912999</v>
      </c>
      <c r="F181" s="53">
        <f ca="1"/>
        <v>0.380580371563775</v>
      </c>
      <c r="G181" s="53">
        <f ca="1"/>
        <v>0.71887950365556863</v>
      </c>
      <c r="H181" s="53">
        <f ca="1"/>
        <v>0.2765178912704882</v>
      </c>
      <c r="I181" s="53">
        <f ca="1"/>
        <v>0.77673927833966139</v>
      </c>
      <c r="J181" s="53">
        <f ca="1"/>
        <v>0.89845376100043439</v>
      </c>
      <c r="K181" s="53">
        <f ca="1"/>
        <v>1.5506224441266259E-3</v>
      </c>
      <c r="L181" s="53">
        <f ca="1"/>
        <v>0.25431744539721013</v>
      </c>
    </row>
    <row r="182" spans="1:12" ht="24" customHeight="1">
      <c r="E182" s="54">
        <f ca="1"/>
        <v>0.91515724241899532</v>
      </c>
      <c r="F182" s="54">
        <f ca="1"/>
        <v>0.81746882124135123</v>
      </c>
      <c r="G182" s="54">
        <f ca="1"/>
        <v>0.4942098330667386</v>
      </c>
      <c r="H182" s="54">
        <f ca="1"/>
        <v>0.98288287757407788</v>
      </c>
      <c r="I182" s="54">
        <f ca="1"/>
        <v>0.41168398586932486</v>
      </c>
      <c r="J182" s="54">
        <f ca="1"/>
        <v>0.39852484320903248</v>
      </c>
      <c r="K182" s="54">
        <f ca="1"/>
        <v>0.63905888928946375</v>
      </c>
      <c r="L182" s="54">
        <f ca="1"/>
        <v>0.26143148441044195</v>
      </c>
    </row>
    <row r="183" spans="1:12" ht="24" customHeight="1">
      <c r="E183" s="55">
        <f ca="1"/>
        <v>0.22040364342789109</v>
      </c>
      <c r="F183" s="55">
        <f ca="1"/>
        <v>0.57683354404930887</v>
      </c>
      <c r="G183" s="55">
        <f ca="1"/>
        <v>0.77650288989730676</v>
      </c>
      <c r="H183" s="55">
        <f ca="1"/>
        <v>0.60654417174942665</v>
      </c>
      <c r="I183" s="55">
        <f ca="1"/>
        <v>0.84501037463421635</v>
      </c>
      <c r="J183" s="55">
        <f ca="1"/>
        <v>0.87723358730437595</v>
      </c>
      <c r="K183" s="55">
        <f ca="1"/>
        <v>0.92886667405313372</v>
      </c>
      <c r="L183" s="55">
        <f ca="1"/>
        <v>0.50956876789508954</v>
      </c>
    </row>
    <row r="184" spans="1:12" ht="24" customHeight="1" thickBot="1">
      <c r="D184" s="15" t="s">
        <v>6</v>
      </c>
    </row>
    <row r="185" spans="1:12" ht="24" customHeight="1" thickBot="1">
      <c r="C185" s="50"/>
      <c r="D185" s="51" t="s">
        <v>71</v>
      </c>
      <c r="E185" s="52"/>
    </row>
    <row r="186" spans="1:12" ht="24" customHeight="1">
      <c r="C186" s="5" t="s">
        <v>72</v>
      </c>
      <c r="D186" s="15" t="s">
        <v>6</v>
      </c>
    </row>
    <row r="188" spans="1:12" ht="24" customHeight="1">
      <c r="D188" s="5" t="s">
        <v>73</v>
      </c>
      <c r="E188" s="6">
        <v>3</v>
      </c>
      <c r="F188" s="6">
        <v>2</v>
      </c>
      <c r="G188" s="6">
        <v>2</v>
      </c>
      <c r="H188" s="6">
        <v>1</v>
      </c>
      <c r="I188" s="6">
        <v>-1</v>
      </c>
      <c r="J188" s="6">
        <v>1</v>
      </c>
      <c r="K188" s="6">
        <v>0</v>
      </c>
      <c r="L188" s="6">
        <v>1</v>
      </c>
    </row>
    <row r="189" spans="1:12" ht="24" customHeight="1">
      <c r="C189" s="5" t="s">
        <v>74</v>
      </c>
      <c r="D189" s="15" t="s">
        <v>6</v>
      </c>
    </row>
    <row r="190" spans="1:12" ht="24" customHeight="1">
      <c r="D190" s="5" t="s">
        <v>75</v>
      </c>
      <c r="E190" s="4" cm="1">
        <f t="array" ref="E190:L190">_xlfn.LET(_xlpm.x,E188:L188, 1/(1+EXP(-_xlpm.x)))</f>
        <v>0.95257412682243336</v>
      </c>
      <c r="F190" s="4">
        <v>0.88079707797788231</v>
      </c>
      <c r="G190" s="4">
        <v>0.88079707797788231</v>
      </c>
      <c r="H190" s="4">
        <v>0.7310585786300049</v>
      </c>
      <c r="I190" s="4">
        <v>0.2689414213699951</v>
      </c>
      <c r="J190" s="4">
        <v>0.7310585786300049</v>
      </c>
      <c r="K190" s="4">
        <v>0.5</v>
      </c>
      <c r="L190" s="4">
        <v>0.7310585786300049</v>
      </c>
    </row>
    <row r="192" spans="1:12" ht="24" customHeight="1">
      <c r="C192" t="s">
        <v>76</v>
      </c>
    </row>
    <row r="193" spans="1:26" ht="24" customHeight="1">
      <c r="C193">
        <v>1</v>
      </c>
      <c r="E193" s="6" cm="1">
        <f t="array" ref="E193:L193">IF(_xlfn.ANCHORARRAY(E190)&gt;=C193,1,0)</f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5" spans="1:26" ht="24" customHeight="1">
      <c r="C195" t="s">
        <v>77</v>
      </c>
      <c r="E195" s="6" cm="1">
        <f t="array" ref="E195:L195">IF(_xlfn.ANCHORARRAY(E193)=E179:L179,1,0)</f>
        <v>0</v>
      </c>
      <c r="F195" s="6">
        <v>0</v>
      </c>
      <c r="G195" s="6">
        <v>0</v>
      </c>
      <c r="H195" s="6">
        <v>0</v>
      </c>
      <c r="I195" s="6">
        <v>1</v>
      </c>
      <c r="J195" s="6">
        <v>1</v>
      </c>
      <c r="K195" s="6">
        <v>1</v>
      </c>
      <c r="L195" s="6">
        <v>1</v>
      </c>
    </row>
    <row r="197" spans="1:26" ht="24" customHeight="1">
      <c r="D197" s="1" t="s">
        <v>60</v>
      </c>
      <c r="E197" s="6">
        <f>SUM(_xlfn.ANCHORARRAY(E195))</f>
        <v>4</v>
      </c>
    </row>
    <row r="198" spans="1:26" ht="24" customHeight="1">
      <c r="D198" s="1" t="s">
        <v>78</v>
      </c>
    </row>
    <row r="199" spans="1:26" ht="24" customHeight="1">
      <c r="C199" t="s">
        <v>79</v>
      </c>
      <c r="E199" s="8">
        <f>E197/COLUMNS(_xlfn.ANCHORARRAY(E195))</f>
        <v>0.5</v>
      </c>
    </row>
    <row r="201" spans="1:26" s="80" customFormat="1" ht="48" thickBot="1">
      <c r="A201" s="80" t="s">
        <v>80</v>
      </c>
    </row>
    <row r="202" spans="1:26" ht="24" customHeight="1" thickTop="1">
      <c r="A202" s="32" t="str">
        <f>HYPERLINK("#A1","[top]")</f>
        <v>[top]</v>
      </c>
    </row>
    <row r="203" spans="1:26" ht="24" customHeight="1">
      <c r="B203" s="37"/>
    </row>
    <row r="204" spans="1:26" ht="24" customHeight="1">
      <c r="B204" s="37"/>
    </row>
    <row r="205" spans="1:26" ht="24" customHeight="1">
      <c r="B205" s="37"/>
    </row>
    <row r="206" spans="1:26" ht="24" customHeight="1">
      <c r="B206" s="37"/>
    </row>
    <row r="207" spans="1:26" ht="24" customHeight="1">
      <c r="B207" s="37"/>
    </row>
    <row r="208" spans="1:26" ht="24" customHeight="1">
      <c r="B208" s="37"/>
      <c r="C208" s="5" t="s">
        <v>69</v>
      </c>
      <c r="E208" s="6">
        <v>1</v>
      </c>
      <c r="F208" s="6">
        <v>1</v>
      </c>
      <c r="G208" s="6">
        <v>1</v>
      </c>
      <c r="H208" s="6">
        <v>1</v>
      </c>
      <c r="I208" s="6">
        <v>1</v>
      </c>
      <c r="J208" s="6">
        <v>1</v>
      </c>
      <c r="K208" s="6">
        <v>1</v>
      </c>
      <c r="L208" s="6">
        <v>1</v>
      </c>
      <c r="M208" s="6">
        <v>1</v>
      </c>
      <c r="N208" s="6">
        <v>1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Z208">
        <f>SUM(E208:X208)</f>
        <v>10</v>
      </c>
    </row>
    <row r="209" spans="2:35" ht="24" customHeight="1">
      <c r="B209" s="37"/>
    </row>
    <row r="210" spans="2:35" ht="24" customHeight="1">
      <c r="D210" t="s">
        <v>70</v>
      </c>
      <c r="E210" s="53" cm="1">
        <f t="array" aca="1" ref="E210:X212" ca="1">_xlfn.RANDARRAY(3,20)</f>
        <v>0.94268284620990261</v>
      </c>
      <c r="F210" s="53">
        <f ca="1"/>
        <v>4.1581508203733408E-2</v>
      </c>
      <c r="G210" s="53">
        <f ca="1"/>
        <v>0.89033027506052576</v>
      </c>
      <c r="H210" s="53">
        <f ca="1"/>
        <v>0.91025533572698492</v>
      </c>
      <c r="I210" s="53">
        <f ca="1"/>
        <v>0.23548400556179727</v>
      </c>
      <c r="J210" s="53">
        <f ca="1"/>
        <v>0.1780476904305961</v>
      </c>
      <c r="K210" s="53">
        <f ca="1"/>
        <v>0.78180238568257021</v>
      </c>
      <c r="L210" s="53">
        <f ca="1"/>
        <v>4.080422139204809E-2</v>
      </c>
      <c r="M210" s="53">
        <f ca="1"/>
        <v>0.71406888017959536</v>
      </c>
      <c r="N210" s="53">
        <f ca="1"/>
        <v>0.73197279521463576</v>
      </c>
      <c r="O210" s="53">
        <f ca="1"/>
        <v>0.86128621156550089</v>
      </c>
      <c r="P210" s="53">
        <f ca="1"/>
        <v>0.11167520450829738</v>
      </c>
      <c r="Q210" s="53">
        <f ca="1"/>
        <v>0.6620826565443152</v>
      </c>
      <c r="R210" s="53">
        <f ca="1"/>
        <v>0.77754513922101309</v>
      </c>
      <c r="S210" s="53">
        <f ca="1"/>
        <v>0.42956308574563051</v>
      </c>
      <c r="T210" s="53">
        <f ca="1"/>
        <v>0.27366372440510833</v>
      </c>
      <c r="U210" s="53">
        <f ca="1"/>
        <v>0.1519690169472443</v>
      </c>
      <c r="V210" s="53">
        <f ca="1"/>
        <v>0.4633805202133765</v>
      </c>
      <c r="W210" s="53">
        <f ca="1"/>
        <v>0.18864230787374869</v>
      </c>
      <c r="X210" s="53">
        <f ca="1"/>
        <v>0.79289731827524434</v>
      </c>
    </row>
    <row r="211" spans="2:35" ht="24" customHeight="1">
      <c r="E211" s="54">
        <f ca="1"/>
        <v>0.58466771899908321</v>
      </c>
      <c r="F211" s="54">
        <f ca="1"/>
        <v>0.33462133462053978</v>
      </c>
      <c r="G211" s="54">
        <f ca="1"/>
        <v>0.38257991848211059</v>
      </c>
      <c r="H211" s="54">
        <f ca="1"/>
        <v>0.98035151021404476</v>
      </c>
      <c r="I211" s="54">
        <f ca="1"/>
        <v>0.65260637798852472</v>
      </c>
      <c r="J211" s="54">
        <f ca="1"/>
        <v>0.97537606494469031</v>
      </c>
      <c r="K211" s="54">
        <f ca="1"/>
        <v>0.39305708067338352</v>
      </c>
      <c r="L211" s="54">
        <f ca="1"/>
        <v>0.63523481058994258</v>
      </c>
      <c r="M211" s="54">
        <f ca="1"/>
        <v>0.74226350237231342</v>
      </c>
      <c r="N211" s="54">
        <f ca="1"/>
        <v>0.800279612279581</v>
      </c>
      <c r="O211" s="54">
        <f ca="1"/>
        <v>0.22445275691965283</v>
      </c>
      <c r="P211" s="54">
        <f ca="1"/>
        <v>0.75300055964211787</v>
      </c>
      <c r="Q211" s="54">
        <f ca="1"/>
        <v>0.85702669747612559</v>
      </c>
      <c r="R211" s="54">
        <f ca="1"/>
        <v>0.27882321122692599</v>
      </c>
      <c r="S211" s="54">
        <f ca="1"/>
        <v>0.74780669575576364</v>
      </c>
      <c r="T211" s="54">
        <f ca="1"/>
        <v>6.028257280446625E-2</v>
      </c>
      <c r="U211" s="54">
        <f ca="1"/>
        <v>0.26148109173431289</v>
      </c>
      <c r="V211" s="54">
        <f ca="1"/>
        <v>0.91452889003511006</v>
      </c>
      <c r="W211" s="54">
        <f ca="1"/>
        <v>0.95595995538214917</v>
      </c>
      <c r="X211" s="54">
        <f ca="1"/>
        <v>0.61206787504272242</v>
      </c>
    </row>
    <row r="212" spans="2:35" ht="24" customHeight="1">
      <c r="E212" s="55">
        <f ca="1"/>
        <v>0.39008014968920257</v>
      </c>
      <c r="F212" s="55">
        <f ca="1"/>
        <v>0.46376289576758079</v>
      </c>
      <c r="G212" s="55">
        <f ca="1"/>
        <v>0.24176604956389491</v>
      </c>
      <c r="H212" s="55">
        <f ca="1"/>
        <v>7.8599477613232827E-2</v>
      </c>
      <c r="I212" s="55">
        <f ca="1"/>
        <v>9.2259812225845561E-3</v>
      </c>
      <c r="J212" s="55">
        <f ca="1"/>
        <v>0.40771068608016492</v>
      </c>
      <c r="K212" s="55">
        <f ca="1"/>
        <v>0.21836100645158085</v>
      </c>
      <c r="L212" s="55">
        <f ca="1"/>
        <v>4.4605144086833581E-2</v>
      </c>
      <c r="M212" s="55">
        <f ca="1"/>
        <v>0.70545748076599146</v>
      </c>
      <c r="N212" s="55">
        <f ca="1"/>
        <v>0.45610105710024795</v>
      </c>
      <c r="O212" s="55">
        <f ca="1"/>
        <v>0.12559479823504205</v>
      </c>
      <c r="P212" s="55">
        <f ca="1"/>
        <v>0.29635914892792847</v>
      </c>
      <c r="Q212" s="55">
        <f ca="1"/>
        <v>0.72795973424273686</v>
      </c>
      <c r="R212" s="55">
        <f ca="1"/>
        <v>0.84782927349943193</v>
      </c>
      <c r="S212" s="55">
        <f ca="1"/>
        <v>0.79566431146918681</v>
      </c>
      <c r="T212" s="55">
        <f ca="1"/>
        <v>0.81759461095308716</v>
      </c>
      <c r="U212" s="55">
        <f ca="1"/>
        <v>3.53727626010929E-2</v>
      </c>
      <c r="V212" s="55">
        <f ca="1"/>
        <v>0.87062485332124573</v>
      </c>
      <c r="W212" s="55">
        <f ca="1"/>
        <v>0.18292308344748909</v>
      </c>
      <c r="X212" s="55">
        <f ca="1"/>
        <v>0.98273540371794166</v>
      </c>
    </row>
    <row r="213" spans="2:35" ht="24" customHeight="1" thickBot="1">
      <c r="D213" s="15" t="s">
        <v>6</v>
      </c>
    </row>
    <row r="214" spans="2:35" ht="24" customHeight="1" thickBot="1">
      <c r="C214" s="50"/>
      <c r="D214" s="51" t="s">
        <v>71</v>
      </c>
      <c r="E214" s="52"/>
      <c r="Z214" t="s">
        <v>81</v>
      </c>
      <c r="AA214" t="s">
        <v>82</v>
      </c>
    </row>
    <row r="215" spans="2:35" ht="24" customHeight="1">
      <c r="C215" s="5" t="s">
        <v>72</v>
      </c>
      <c r="D215" s="15" t="s">
        <v>6</v>
      </c>
      <c r="Z215" t="s">
        <v>83</v>
      </c>
      <c r="AA215" t="s">
        <v>84</v>
      </c>
    </row>
    <row r="216" spans="2:35" ht="24" customHeight="1">
      <c r="D216" s="5" t="s">
        <v>75</v>
      </c>
      <c r="E216" s="8">
        <v>0.7</v>
      </c>
      <c r="F216" s="8">
        <v>0.5</v>
      </c>
      <c r="G216" s="8">
        <v>0.6</v>
      </c>
      <c r="H216" s="8">
        <v>0.4</v>
      </c>
      <c r="I216" s="8">
        <v>0.6</v>
      </c>
      <c r="J216" s="8">
        <v>0.2</v>
      </c>
      <c r="K216" s="8">
        <v>0.3</v>
      </c>
      <c r="L216" s="8">
        <v>0.9</v>
      </c>
      <c r="M216" s="8">
        <v>0.8</v>
      </c>
      <c r="N216" s="8">
        <v>0.5</v>
      </c>
      <c r="O216" s="8">
        <v>0.4</v>
      </c>
      <c r="P216" s="8">
        <v>0.5</v>
      </c>
      <c r="Q216" s="8">
        <v>0.2</v>
      </c>
      <c r="R216" s="8">
        <v>0.1</v>
      </c>
      <c r="S216" s="8">
        <v>0.1</v>
      </c>
      <c r="T216" s="8">
        <v>0.3</v>
      </c>
      <c r="U216" s="8">
        <v>0.2</v>
      </c>
      <c r="V216" s="8">
        <v>0.2</v>
      </c>
      <c r="W216" s="8">
        <v>0.1</v>
      </c>
      <c r="X216" s="8">
        <v>0.45</v>
      </c>
      <c r="Z216" t="s">
        <v>85</v>
      </c>
      <c r="AA216" t="s">
        <v>86</v>
      </c>
    </row>
    <row r="217" spans="2:35" ht="24" customHeight="1">
      <c r="B217" s="37"/>
    </row>
    <row r="218" spans="2:35" ht="24" customHeight="1">
      <c r="B218" s="37"/>
      <c r="C218" t="s">
        <v>76</v>
      </c>
      <c r="Z218" t="s">
        <v>81</v>
      </c>
      <c r="AB218" t="s">
        <v>83</v>
      </c>
      <c r="AC218" t="s">
        <v>85</v>
      </c>
      <c r="AE218" t="s">
        <v>87</v>
      </c>
      <c r="AG218" t="s">
        <v>88</v>
      </c>
      <c r="AI218" t="s">
        <v>89</v>
      </c>
    </row>
    <row r="219" spans="2:35" ht="24" customHeight="1">
      <c r="B219" s="37"/>
      <c r="C219">
        <v>0.1</v>
      </c>
      <c r="E219" s="12" cm="1">
        <f t="array" ref="E219:X227">IF(E216:X216&gt;=C219:C227,1,0)</f>
        <v>1</v>
      </c>
      <c r="F219" s="13">
        <v>1</v>
      </c>
      <c r="G219" s="13">
        <v>1</v>
      </c>
      <c r="H219" s="13">
        <v>1</v>
      </c>
      <c r="I219" s="13">
        <v>1</v>
      </c>
      <c r="J219" s="13">
        <v>1</v>
      </c>
      <c r="K219" s="13">
        <v>1</v>
      </c>
      <c r="L219" s="13">
        <v>1</v>
      </c>
      <c r="M219" s="13">
        <v>1</v>
      </c>
      <c r="N219" s="13">
        <v>1</v>
      </c>
      <c r="O219" s="13">
        <v>1</v>
      </c>
      <c r="P219" s="13">
        <v>1</v>
      </c>
      <c r="Q219" s="13">
        <v>1</v>
      </c>
      <c r="R219" s="13">
        <v>1</v>
      </c>
      <c r="S219" s="13">
        <v>1</v>
      </c>
      <c r="T219" s="13">
        <v>1</v>
      </c>
      <c r="U219" s="13">
        <v>1</v>
      </c>
      <c r="V219" s="13">
        <v>1</v>
      </c>
      <c r="W219" s="13">
        <v>1</v>
      </c>
      <c r="X219" s="14">
        <v>1</v>
      </c>
      <c r="Z219" s="6" cm="1">
        <f t="array" ref="Z219:Z227">_xlfn.BYROW(_xlfn.ANCHORARRAY(E219), _xlfn.LAMBDA(_xlpm.r, SUM(_xlpm.r*E208:X208)))</f>
        <v>10</v>
      </c>
      <c r="AB219" s="6" cm="1">
        <f t="array" ref="AB219:AB227">_xlfn.BYROW(_xlfn.ANCHORARRAY(E219),_xleta.SUM)</f>
        <v>20</v>
      </c>
      <c r="AC219" s="6">
        <f>Z208</f>
        <v>10</v>
      </c>
      <c r="AE219" s="6" cm="1">
        <f t="array" ref="AE219:AE227">_xlfn.ANCHORARRAY(Z219)/AC219:AC227</f>
        <v>1</v>
      </c>
      <c r="AG219" s="6" cm="1">
        <f t="array" ref="AG219:AG227">_xlfn.ANCHORARRAY(Z219)/_xlfn.ANCHORARRAY(AB219)</f>
        <v>0.5</v>
      </c>
      <c r="AI219" s="6" cm="1">
        <f t="array" ref="AI219:AI227">2*_xlfn.ANCHORARRAY(AE219)*_xlfn.ANCHORARRAY(AG219)/(_xlfn.ANCHORARRAY(AE219)+_xlfn.ANCHORARRAY(AG219))</f>
        <v>0.66666666666666663</v>
      </c>
    </row>
    <row r="220" spans="2:35" ht="24" customHeight="1">
      <c r="B220" s="37"/>
      <c r="C220">
        <v>0.2</v>
      </c>
      <c r="E220" s="12">
        <v>1</v>
      </c>
      <c r="F220" s="13">
        <v>1</v>
      </c>
      <c r="G220" s="13">
        <v>1</v>
      </c>
      <c r="H220" s="13">
        <v>1</v>
      </c>
      <c r="I220" s="13">
        <v>1</v>
      </c>
      <c r="J220" s="13">
        <v>1</v>
      </c>
      <c r="K220" s="13">
        <v>1</v>
      </c>
      <c r="L220" s="13">
        <v>1</v>
      </c>
      <c r="M220" s="13">
        <v>1</v>
      </c>
      <c r="N220" s="13">
        <v>1</v>
      </c>
      <c r="O220" s="13">
        <v>1</v>
      </c>
      <c r="P220" s="13">
        <v>1</v>
      </c>
      <c r="Q220" s="13">
        <v>1</v>
      </c>
      <c r="R220" s="13">
        <v>0</v>
      </c>
      <c r="S220" s="13">
        <v>0</v>
      </c>
      <c r="T220" s="13">
        <v>1</v>
      </c>
      <c r="U220" s="13">
        <v>1</v>
      </c>
      <c r="V220" s="13">
        <v>1</v>
      </c>
      <c r="W220" s="13">
        <v>0</v>
      </c>
      <c r="X220" s="14">
        <v>1</v>
      </c>
      <c r="Z220" s="6">
        <v>10</v>
      </c>
      <c r="AB220" s="6">
        <v>17</v>
      </c>
      <c r="AC220" s="6">
        <f t="shared" ref="AC220:AC227" si="1">AC219</f>
        <v>10</v>
      </c>
      <c r="AE220" s="6">
        <v>1</v>
      </c>
      <c r="AG220" s="6">
        <v>0.58823529411764708</v>
      </c>
      <c r="AI220" s="6">
        <v>0.7407407407407407</v>
      </c>
    </row>
    <row r="221" spans="2:35" ht="24" customHeight="1">
      <c r="B221" s="37"/>
      <c r="C221">
        <v>0.3</v>
      </c>
      <c r="E221" s="12">
        <v>1</v>
      </c>
      <c r="F221" s="13">
        <v>1</v>
      </c>
      <c r="G221" s="13">
        <v>1</v>
      </c>
      <c r="H221" s="13">
        <v>1</v>
      </c>
      <c r="I221" s="13">
        <v>1</v>
      </c>
      <c r="J221" s="13">
        <v>0</v>
      </c>
      <c r="K221" s="13">
        <v>1</v>
      </c>
      <c r="L221" s="13">
        <v>1</v>
      </c>
      <c r="M221" s="13">
        <v>1</v>
      </c>
      <c r="N221" s="13">
        <v>1</v>
      </c>
      <c r="O221" s="13">
        <v>1</v>
      </c>
      <c r="P221" s="13">
        <v>1</v>
      </c>
      <c r="Q221" s="13">
        <v>0</v>
      </c>
      <c r="R221" s="13">
        <v>0</v>
      </c>
      <c r="S221" s="13">
        <v>0</v>
      </c>
      <c r="T221" s="13">
        <v>1</v>
      </c>
      <c r="U221" s="13">
        <v>0</v>
      </c>
      <c r="V221" s="13">
        <v>0</v>
      </c>
      <c r="W221" s="13">
        <v>0</v>
      </c>
      <c r="X221" s="14">
        <v>1</v>
      </c>
      <c r="Z221" s="6">
        <v>9</v>
      </c>
      <c r="AB221" s="6">
        <v>13</v>
      </c>
      <c r="AC221" s="6">
        <f t="shared" si="1"/>
        <v>10</v>
      </c>
      <c r="AE221" s="6">
        <v>0.9</v>
      </c>
      <c r="AG221" s="6">
        <v>0.69230769230769229</v>
      </c>
      <c r="AI221" s="6">
        <v>0.78260869565217384</v>
      </c>
    </row>
    <row r="222" spans="2:35" ht="24" customHeight="1">
      <c r="B222" s="37"/>
      <c r="C222">
        <v>0.4</v>
      </c>
      <c r="E222" s="12">
        <v>1</v>
      </c>
      <c r="F222" s="13">
        <v>1</v>
      </c>
      <c r="G222" s="13">
        <v>1</v>
      </c>
      <c r="H222" s="13">
        <v>1</v>
      </c>
      <c r="I222" s="13">
        <v>1</v>
      </c>
      <c r="J222" s="13">
        <v>0</v>
      </c>
      <c r="K222" s="13">
        <v>0</v>
      </c>
      <c r="L222" s="13">
        <v>1</v>
      </c>
      <c r="M222" s="13">
        <v>1</v>
      </c>
      <c r="N222" s="13">
        <v>1</v>
      </c>
      <c r="O222" s="13">
        <v>1</v>
      </c>
      <c r="P222" s="13">
        <v>1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4">
        <v>1</v>
      </c>
      <c r="Z222" s="6">
        <v>8</v>
      </c>
      <c r="AB222" s="6">
        <v>11</v>
      </c>
      <c r="AC222" s="6">
        <f t="shared" si="1"/>
        <v>10</v>
      </c>
      <c r="AE222" s="6">
        <v>0.8</v>
      </c>
      <c r="AG222" s="6">
        <v>0.72727272727272729</v>
      </c>
      <c r="AI222" s="6">
        <v>0.76190476190476197</v>
      </c>
    </row>
    <row r="223" spans="2:35" ht="24" customHeight="1">
      <c r="B223" s="37"/>
      <c r="C223">
        <v>0.5</v>
      </c>
      <c r="E223" s="12">
        <v>1</v>
      </c>
      <c r="F223" s="13">
        <v>1</v>
      </c>
      <c r="G223" s="13">
        <v>1</v>
      </c>
      <c r="H223" s="13">
        <v>0</v>
      </c>
      <c r="I223" s="13">
        <v>1</v>
      </c>
      <c r="J223" s="13">
        <v>0</v>
      </c>
      <c r="K223" s="13">
        <v>0</v>
      </c>
      <c r="L223" s="13">
        <v>1</v>
      </c>
      <c r="M223" s="13">
        <v>1</v>
      </c>
      <c r="N223" s="13">
        <v>1</v>
      </c>
      <c r="O223" s="13">
        <v>0</v>
      </c>
      <c r="P223" s="13">
        <v>1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4">
        <v>0</v>
      </c>
      <c r="Z223" s="6">
        <v>7</v>
      </c>
      <c r="AB223" s="6">
        <v>8</v>
      </c>
      <c r="AC223" s="6">
        <f t="shared" si="1"/>
        <v>10</v>
      </c>
      <c r="AE223" s="6">
        <v>0.7</v>
      </c>
      <c r="AG223" s="6">
        <v>0.875</v>
      </c>
      <c r="AI223" s="6">
        <v>0.77777777777777768</v>
      </c>
    </row>
    <row r="224" spans="2:35" ht="24" customHeight="1">
      <c r="B224" s="37"/>
      <c r="C224">
        <v>0.6</v>
      </c>
      <c r="E224" s="12">
        <v>1</v>
      </c>
      <c r="F224" s="13">
        <v>0</v>
      </c>
      <c r="G224" s="13">
        <v>1</v>
      </c>
      <c r="H224" s="13">
        <v>0</v>
      </c>
      <c r="I224" s="13">
        <v>1</v>
      </c>
      <c r="J224" s="13">
        <v>0</v>
      </c>
      <c r="K224" s="13">
        <v>0</v>
      </c>
      <c r="L224" s="13">
        <v>1</v>
      </c>
      <c r="M224" s="13">
        <v>1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4">
        <v>0</v>
      </c>
      <c r="Z224" s="6">
        <v>5</v>
      </c>
      <c r="AB224" s="6">
        <v>5</v>
      </c>
      <c r="AC224" s="6">
        <f t="shared" si="1"/>
        <v>10</v>
      </c>
      <c r="AE224" s="6">
        <v>0.5</v>
      </c>
      <c r="AG224" s="6">
        <v>1</v>
      </c>
      <c r="AI224" s="6">
        <v>0.66666666666666663</v>
      </c>
    </row>
    <row r="225" spans="2:35" ht="24" customHeight="1">
      <c r="B225" s="37"/>
      <c r="C225">
        <v>0.7</v>
      </c>
      <c r="E225" s="12">
        <v>1</v>
      </c>
      <c r="F225" s="13">
        <v>0</v>
      </c>
      <c r="G225" s="13">
        <v>0</v>
      </c>
      <c r="H225" s="13">
        <v>0</v>
      </c>
      <c r="I225" s="13">
        <v>0</v>
      </c>
      <c r="J225" s="13">
        <v>0</v>
      </c>
      <c r="K225" s="13">
        <v>0</v>
      </c>
      <c r="L225" s="13">
        <v>1</v>
      </c>
      <c r="M225" s="13">
        <v>1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4">
        <v>0</v>
      </c>
      <c r="Z225" s="6">
        <v>3</v>
      </c>
      <c r="AB225" s="6">
        <v>3</v>
      </c>
      <c r="AC225" s="6">
        <f t="shared" si="1"/>
        <v>10</v>
      </c>
      <c r="AE225" s="6">
        <v>0.3</v>
      </c>
      <c r="AG225" s="6">
        <v>1</v>
      </c>
      <c r="AI225" s="6">
        <v>0.46153846153846151</v>
      </c>
    </row>
    <row r="226" spans="2:35" ht="24" customHeight="1">
      <c r="B226" s="37"/>
      <c r="C226">
        <v>0.8</v>
      </c>
      <c r="E226" s="12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1</v>
      </c>
      <c r="M226" s="13">
        <v>1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4">
        <v>0</v>
      </c>
      <c r="Z226" s="6">
        <v>2</v>
      </c>
      <c r="AB226" s="6">
        <v>2</v>
      </c>
      <c r="AC226" s="6">
        <f t="shared" si="1"/>
        <v>10</v>
      </c>
      <c r="AE226" s="6">
        <v>0.2</v>
      </c>
      <c r="AG226" s="6">
        <v>1</v>
      </c>
      <c r="AI226" s="6">
        <v>0.33333333333333337</v>
      </c>
    </row>
    <row r="227" spans="2:35" ht="24" customHeight="1">
      <c r="B227" s="37"/>
      <c r="C227">
        <v>0.9</v>
      </c>
      <c r="E227" s="12">
        <v>0</v>
      </c>
      <c r="F227" s="13">
        <v>0</v>
      </c>
      <c r="G227" s="13">
        <v>0</v>
      </c>
      <c r="H227" s="13">
        <v>0</v>
      </c>
      <c r="I227" s="13">
        <v>0</v>
      </c>
      <c r="J227" s="13">
        <v>0</v>
      </c>
      <c r="K227" s="13">
        <v>0</v>
      </c>
      <c r="L227" s="13">
        <v>1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4">
        <v>0</v>
      </c>
      <c r="Z227" s="6">
        <v>1</v>
      </c>
      <c r="AB227" s="6">
        <v>1</v>
      </c>
      <c r="AC227" s="6">
        <f t="shared" si="1"/>
        <v>10</v>
      </c>
      <c r="AE227" s="6">
        <v>0.1</v>
      </c>
      <c r="AG227" s="6">
        <v>1</v>
      </c>
      <c r="AI227" s="6">
        <v>0.18181818181818182</v>
      </c>
    </row>
    <row r="228" spans="2:35" ht="24" customHeight="1">
      <c r="B228" s="37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Z228" s="1"/>
      <c r="AB228" s="1"/>
      <c r="AC228" s="1"/>
      <c r="AE228" s="1"/>
      <c r="AG228" s="1"/>
      <c r="AI228" s="1"/>
    </row>
    <row r="229" spans="2:35" ht="24" customHeight="1">
      <c r="B229" s="37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Z229" s="1"/>
      <c r="AB229" s="1"/>
      <c r="AC229" s="1"/>
      <c r="AE229" s="1"/>
      <c r="AG229" s="1"/>
      <c r="AI229" s="1"/>
    </row>
    <row r="230" spans="2:35" ht="24" customHeight="1">
      <c r="B230" s="37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Z230" s="1"/>
      <c r="AB230" s="1"/>
      <c r="AC230" s="1"/>
      <c r="AE230" s="1"/>
      <c r="AG230" s="1"/>
      <c r="AI230" s="1"/>
    </row>
    <row r="231" spans="2:35" ht="24" customHeight="1">
      <c r="B231" s="37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Z231" s="1"/>
      <c r="AB231" s="1"/>
      <c r="AC231" s="1"/>
      <c r="AE231" s="1"/>
      <c r="AG231" s="1"/>
      <c r="AI231" s="1"/>
    </row>
    <row r="232" spans="2:35" ht="24" customHeight="1">
      <c r="B232" s="37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Z232" s="1"/>
      <c r="AB232" s="1"/>
      <c r="AC232" s="1"/>
      <c r="AE232" s="1"/>
      <c r="AG232" s="1"/>
      <c r="AI232" s="1"/>
    </row>
    <row r="233" spans="2:35" ht="24" customHeight="1">
      <c r="B233" s="37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Z233" s="1"/>
      <c r="AB233" s="1"/>
      <c r="AC233" s="1"/>
      <c r="AE233" s="1"/>
      <c r="AG233" s="1"/>
      <c r="AI233" s="1"/>
    </row>
    <row r="234" spans="2:35" ht="24" customHeight="1">
      <c r="B234" s="37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Z234" s="1"/>
      <c r="AB234" s="1"/>
      <c r="AC234" s="1"/>
      <c r="AE234" s="1"/>
      <c r="AG234" s="1"/>
      <c r="AI234" s="1"/>
    </row>
    <row r="235" spans="2:35" ht="24" customHeight="1">
      <c r="B235" s="37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Z235" s="1"/>
      <c r="AB235" s="1"/>
      <c r="AC235" s="1"/>
      <c r="AE235" s="1"/>
      <c r="AG235" s="1"/>
      <c r="AI235" s="1"/>
    </row>
    <row r="236" spans="2:35" ht="24" customHeight="1">
      <c r="B236" s="37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Z236" s="1"/>
      <c r="AB236" s="1"/>
      <c r="AC236" s="1"/>
      <c r="AE236" s="1"/>
      <c r="AG236" s="1"/>
      <c r="AI236" s="1"/>
    </row>
    <row r="237" spans="2:35" ht="24" customHeight="1">
      <c r="B237" s="37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Z237" s="1"/>
      <c r="AB237" s="1"/>
      <c r="AC237" s="1"/>
      <c r="AE237" s="1"/>
      <c r="AG237" s="1"/>
      <c r="AI237" s="1"/>
    </row>
    <row r="238" spans="2:35" ht="24" customHeight="1">
      <c r="B238" s="37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Z238" s="1"/>
      <c r="AB238" s="1"/>
      <c r="AC238" s="1"/>
      <c r="AE238" s="1"/>
      <c r="AG238" s="1"/>
      <c r="AI238" s="1"/>
    </row>
    <row r="239" spans="2:35" ht="24" customHeight="1">
      <c r="B239" s="37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Z239" s="1"/>
      <c r="AB239" s="1"/>
      <c r="AC239" s="1"/>
      <c r="AE239" s="1"/>
      <c r="AG239" s="1"/>
      <c r="AI239" s="1"/>
    </row>
    <row r="240" spans="2:35" ht="24" customHeight="1">
      <c r="B240" s="37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Z240" s="1"/>
      <c r="AB240" s="1"/>
      <c r="AC240" s="1"/>
      <c r="AE240" s="1"/>
      <c r="AG240" s="1"/>
      <c r="AI240" s="1"/>
    </row>
    <row r="241" spans="1:35" ht="24" customHeight="1">
      <c r="B241" s="37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Z241" s="1"/>
      <c r="AB241" s="1"/>
      <c r="AC241" s="1"/>
      <c r="AE241" s="1"/>
      <c r="AG241" s="1"/>
      <c r="AI241" s="1"/>
    </row>
    <row r="242" spans="1:35" ht="24" customHeight="1">
      <c r="B242" s="37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Z242" s="1"/>
      <c r="AB242" s="1"/>
      <c r="AC242" s="1"/>
      <c r="AE242" s="1"/>
      <c r="AG242" s="1"/>
      <c r="AI242" s="1"/>
    </row>
    <row r="243" spans="1:35" ht="24" customHeight="1">
      <c r="B243" s="37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Z243" s="1"/>
      <c r="AB243" s="1"/>
      <c r="AC243" s="1"/>
      <c r="AE243" s="1"/>
      <c r="AG243" s="1"/>
      <c r="AI243" s="1"/>
    </row>
    <row r="244" spans="1:35" ht="24" customHeight="1">
      <c r="B244" s="37"/>
    </row>
    <row r="245" spans="1:35" s="80" customFormat="1" ht="48" thickBot="1">
      <c r="A245" s="80" t="s">
        <v>90</v>
      </c>
    </row>
    <row r="246" spans="1:35" ht="24" customHeight="1" thickTop="1">
      <c r="A246" s="32" t="str">
        <f>HYPERLINK("#A1","[top]")</f>
        <v>[top]</v>
      </c>
    </row>
    <row r="247" spans="1:35" ht="24" customHeight="1">
      <c r="O247" t="s">
        <v>87</v>
      </c>
    </row>
    <row r="248" spans="1:35" ht="24" customHeight="1">
      <c r="B248" s="7" t="s">
        <v>91</v>
      </c>
      <c r="F248" t="s">
        <v>92</v>
      </c>
      <c r="O248" t="s">
        <v>93</v>
      </c>
    </row>
    <row r="249" spans="1:35" ht="24" customHeight="1">
      <c r="C249" t="s">
        <v>94</v>
      </c>
      <c r="O249" t="s">
        <v>95</v>
      </c>
    </row>
    <row r="250" spans="1:35" ht="24" customHeight="1">
      <c r="O250" t="s">
        <v>96</v>
      </c>
    </row>
    <row r="251" spans="1:35" ht="24" customHeight="1">
      <c r="C251" s="3" t="s">
        <v>97</v>
      </c>
      <c r="I251" s="7" t="s">
        <v>98</v>
      </c>
      <c r="O251" t="s">
        <v>99</v>
      </c>
    </row>
    <row r="252" spans="1:35" ht="24" customHeight="1">
      <c r="C252" s="56" t="s">
        <v>100</v>
      </c>
      <c r="D252" s="56"/>
      <c r="E252" s="56"/>
      <c r="F252" s="56"/>
      <c r="I252" s="40" t="s">
        <v>101</v>
      </c>
      <c r="J252" s="40"/>
      <c r="K252" s="40"/>
      <c r="L252" s="40"/>
    </row>
    <row r="253" spans="1:35" ht="24" customHeight="1">
      <c r="C253" t="str" cm="1">
        <f t="array" ref="C253:C258">_xlfn.LET(_xlpm.sentence, C252,
  _xlpm.words, _xlfn.TEXTSPLIT(_xlpm.sentence, " "),
  TRANSPOSE(_xlpm.words))</f>
        <v>the</v>
      </c>
      <c r="I253" t="str" cm="1">
        <f t="array" ref="I253:I255">_xlfn.LET(_xlpm.sentence, I252,
  _xlpm.words, _xlfn.TEXTSPLIT(_xlpm.sentence, " "),
  TRANSPOSE(_xlpm.words))</f>
        <v>the</v>
      </c>
    </row>
    <row r="254" spans="1:35" ht="24" customHeight="1">
      <c r="C254" t="str">
        <v>cat</v>
      </c>
      <c r="I254" t="str">
        <v>cat</v>
      </c>
    </row>
    <row r="255" spans="1:35" ht="24" customHeight="1">
      <c r="C255" t="str">
        <v>sat</v>
      </c>
      <c r="I255" t="str">
        <v>sat</v>
      </c>
    </row>
    <row r="256" spans="1:35" ht="24" customHeight="1">
      <c r="C256" t="str">
        <v>on</v>
      </c>
    </row>
    <row r="257" spans="1:15" ht="24" customHeight="1">
      <c r="C257" t="str">
        <v>a</v>
      </c>
    </row>
    <row r="258" spans="1:15" ht="24" customHeight="1">
      <c r="C258" t="str">
        <v>mat</v>
      </c>
    </row>
    <row r="261" spans="1:15" ht="24" customHeight="1">
      <c r="F261" s="7" t="s">
        <v>98</v>
      </c>
      <c r="L261" s="70" t="s">
        <v>102</v>
      </c>
    </row>
    <row r="262" spans="1:15" ht="24" customHeight="1">
      <c r="F262" s="40" t="str" cm="1">
        <f t="array" ref="F262:H262">TRANSPOSE(_xlfn.ANCHORARRAY(I253))</f>
        <v>the</v>
      </c>
      <c r="G262" s="40" t="str">
        <v>cat</v>
      </c>
      <c r="H262" s="40" t="str">
        <v>sat</v>
      </c>
      <c r="K262" s="62" t="s">
        <v>103</v>
      </c>
      <c r="L262" s="1" t="s">
        <v>104</v>
      </c>
      <c r="N262" s="6">
        <f>SUM(_xlfn.ANCHORARRAY(J263))</f>
        <v>3</v>
      </c>
      <c r="O262" t="s">
        <v>105</v>
      </c>
    </row>
    <row r="263" spans="1:15" ht="24" customHeight="1">
      <c r="C263" s="3" t="s">
        <v>97</v>
      </c>
      <c r="E263" s="56" t="str" cm="1">
        <f t="array" ref="E263:E268">_xlfn.ANCHORARRAY(C253)</f>
        <v>the</v>
      </c>
      <c r="F263" s="6" cm="1">
        <f t="array" ref="F263:H268">IF(_xlfn.ANCHORARRAY(E263)=_xlfn.ANCHORARRAY(F262),1,0)</f>
        <v>1</v>
      </c>
      <c r="G263" s="6">
        <v>0</v>
      </c>
      <c r="H263" s="6">
        <v>0</v>
      </c>
      <c r="I263" s="1" t="s">
        <v>14</v>
      </c>
      <c r="J263" s="6" cm="1">
        <f t="array" ref="J263:J268">_xlfn.BYROW(_xlfn.ANCHORARRAY(F263),_xleta.SUM)</f>
        <v>1</v>
      </c>
      <c r="L263" s="6">
        <f>SUM(_xlfn.ANCHORARRAY(J263))/ROWS(_xlfn.ANCHORARRAY(J263))</f>
        <v>0.5</v>
      </c>
    </row>
    <row r="264" spans="1:15" ht="24" customHeight="1">
      <c r="E264" s="56" t="str">
        <v>cat</v>
      </c>
      <c r="F264" s="6">
        <v>0</v>
      </c>
      <c r="G264" s="6">
        <v>1</v>
      </c>
      <c r="H264" s="6">
        <v>0</v>
      </c>
      <c r="I264" s="1" t="s">
        <v>14</v>
      </c>
      <c r="J264" s="6">
        <v>1</v>
      </c>
      <c r="N264" s="6">
        <f>ROWS(_xlfn.ANCHORARRAY(J263))</f>
        <v>6</v>
      </c>
      <c r="O264" t="s">
        <v>106</v>
      </c>
    </row>
    <row r="265" spans="1:15" ht="24" customHeight="1">
      <c r="E265" s="56" t="str">
        <v>sat</v>
      </c>
      <c r="F265" s="6">
        <v>0</v>
      </c>
      <c r="G265" s="6">
        <v>0</v>
      </c>
      <c r="H265" s="6">
        <v>1</v>
      </c>
      <c r="I265" s="1" t="s">
        <v>14</v>
      </c>
      <c r="J265" s="6">
        <v>1</v>
      </c>
    </row>
    <row r="266" spans="1:15" ht="24" customHeight="1">
      <c r="E266" s="56" t="str">
        <v>on</v>
      </c>
      <c r="F266" s="6">
        <v>0</v>
      </c>
      <c r="G266" s="6">
        <v>0</v>
      </c>
      <c r="H266" s="6">
        <v>0</v>
      </c>
      <c r="I266" s="1" t="s">
        <v>14</v>
      </c>
      <c r="J266" s="6">
        <v>0</v>
      </c>
    </row>
    <row r="267" spans="1:15" ht="24" customHeight="1">
      <c r="E267" s="56" t="str">
        <v>a</v>
      </c>
      <c r="F267" s="6">
        <v>0</v>
      </c>
      <c r="G267" s="6">
        <v>0</v>
      </c>
      <c r="H267" s="6">
        <v>0</v>
      </c>
      <c r="I267" s="1" t="s">
        <v>14</v>
      </c>
      <c r="J267" s="6">
        <v>0</v>
      </c>
    </row>
    <row r="268" spans="1:15" ht="24" customHeight="1">
      <c r="E268" s="56" t="str">
        <v>mat</v>
      </c>
      <c r="F268" s="6">
        <v>0</v>
      </c>
      <c r="G268" s="6">
        <v>0</v>
      </c>
      <c r="H268" s="6">
        <v>0</v>
      </c>
      <c r="I268" s="1" t="s">
        <v>14</v>
      </c>
      <c r="J268" s="6">
        <v>0</v>
      </c>
    </row>
    <row r="270" spans="1:15" ht="24" customHeight="1">
      <c r="B270" s="37"/>
    </row>
    <row r="272" spans="1:15" s="80" customFormat="1" ht="48" thickBot="1">
      <c r="A272" s="80" t="s">
        <v>107</v>
      </c>
    </row>
    <row r="273" spans="1:41" ht="24" customHeight="1" thickTop="1">
      <c r="A273" s="32" t="str">
        <f>HYPERLINK("#A1","[top]")</f>
        <v>[top]</v>
      </c>
    </row>
    <row r="274" spans="1:41" ht="24" customHeight="1">
      <c r="A274" s="32"/>
      <c r="O274" t="s">
        <v>108</v>
      </c>
      <c r="V274" s="3"/>
    </row>
    <row r="275" spans="1:41" ht="24" customHeight="1">
      <c r="A275" s="32"/>
      <c r="O275" t="s">
        <v>99</v>
      </c>
      <c r="V275" s="3"/>
    </row>
    <row r="276" spans="1:41" ht="24" customHeight="1">
      <c r="A276" s="32"/>
      <c r="O276" t="s">
        <v>95</v>
      </c>
      <c r="V276" s="3"/>
    </row>
    <row r="277" spans="1:41" ht="24" customHeight="1">
      <c r="A277" s="32"/>
    </row>
    <row r="278" spans="1:41" ht="24" customHeight="1">
      <c r="A278" s="32"/>
      <c r="C278" s="7" t="s">
        <v>109</v>
      </c>
      <c r="M278" s="7" t="s">
        <v>110</v>
      </c>
      <c r="W278" s="7" t="s">
        <v>111</v>
      </c>
      <c r="AG278" s="7" t="s">
        <v>112</v>
      </c>
    </row>
    <row r="279" spans="1:41" ht="24" customHeight="1">
      <c r="A279" s="32"/>
    </row>
    <row r="280" spans="1:41" ht="24" customHeight="1">
      <c r="A280" s="32"/>
      <c r="C280" s="56" t="s">
        <v>113</v>
      </c>
      <c r="D280" s="56"/>
      <c r="E280" s="56"/>
      <c r="F280" s="56"/>
      <c r="H280" s="40" t="s">
        <v>114</v>
      </c>
      <c r="I280" s="40"/>
      <c r="J280" s="40"/>
      <c r="K280" s="40"/>
      <c r="M280" s="56" t="s">
        <v>113</v>
      </c>
      <c r="N280" s="56"/>
      <c r="O280" s="56"/>
      <c r="P280" s="56"/>
      <c r="R280" s="40" t="s">
        <v>115</v>
      </c>
      <c r="S280" s="40"/>
      <c r="T280" s="40"/>
      <c r="U280" s="40"/>
      <c r="W280" s="56" t="s">
        <v>113</v>
      </c>
      <c r="X280" s="56"/>
      <c r="Y280" s="56"/>
      <c r="Z280" s="56"/>
      <c r="AA280" t="s">
        <v>115</v>
      </c>
      <c r="AB280" s="40"/>
      <c r="AC280" s="40"/>
      <c r="AD280" s="40"/>
      <c r="AE280" s="40"/>
      <c r="AG280" s="56" t="s">
        <v>113</v>
      </c>
      <c r="AH280" s="56"/>
      <c r="AI280" s="56"/>
      <c r="AJ280" s="56"/>
      <c r="AK280" t="s">
        <v>115</v>
      </c>
      <c r="AL280" s="40"/>
      <c r="AM280" s="40"/>
      <c r="AN280" s="40"/>
      <c r="AO280" s="40"/>
    </row>
    <row r="281" spans="1:41" ht="24" customHeight="1">
      <c r="A281" s="32"/>
      <c r="C281" t="str" cm="1">
        <f t="array" ref="C281:C286">_xlfn.LET(_xlpm.sentence, C280,
  _xlpm.words, _xlfn.TEXTSPLIT(_xlpm.sentence, " "),
  TRANSPOSE(_xlpm.words))</f>
        <v>the</v>
      </c>
      <c r="H281" t="str" cm="1">
        <f t="array" ref="H281:H285">_xlfn.LET(_xlpm.sentence, H280,
  _xlpm.words, _xlfn.TEXTSPLIT(_xlpm.sentence, " "),
  TRANSPOSE(_xlpm.words))</f>
        <v>cat</v>
      </c>
      <c r="M281" t="str" cm="1">
        <f t="array" ref="M281:M285">_xlfn.LET(_xlpm.sentence, M280,
  _xlpm.words, _xlfn.TEXTSPLIT(_xlpm.sentence, " "),
  _xlpm.n, COLUMNS(_xlpm.words),
  IF(_xlpm.n&lt;2, "", INDEX(_xlpm.words, _xlfn.SEQUENCE(_xlpm.n-1)) &amp; " " &amp; INDEX(_xlpm.words, _xlfn.SEQUENCE(_xlpm.n-1)+1))
)</f>
        <v>the cat</v>
      </c>
      <c r="R281" t="str" cm="1">
        <f t="array" ref="R281:R284">_xlfn.LET(_xlpm.sentence, R280,
  _xlpm.words, _xlfn.TEXTSPLIT(_xlpm.sentence, " "),
  _xlpm.n, COLUMNS(_xlpm.words),
  IF(_xlpm.n&lt;2, "", INDEX(_xlpm.words, _xlfn.SEQUENCE(_xlpm.n-1)) &amp; " " &amp; INDEX(_xlpm.words, _xlfn.SEQUENCE(_xlpm.n-1)+1))
)</f>
        <v>the cat</v>
      </c>
      <c r="W281" t="str" cm="1">
        <f t="array" ref="W281:W284">_xlfn.LET(_xlpm.sentence, W280,
  _xlpm.words, _xlfn.TEXTSPLIT(_xlpm.sentence, " "),
  _xlpm.n, COLUMNS(_xlpm.words),
  IF(_xlpm.n&lt;3, "", INDEX(_xlpm.words, _xlfn.SEQUENCE(_xlpm.n-2)) &amp; " " &amp; INDEX(_xlpm.words, _xlfn.SEQUENCE(_xlpm.n-2)+1) &amp; " " &amp; INDEX(_xlpm.words, _xlfn.SEQUENCE(_xlpm.n-2)+2))
)</f>
        <v>the cat is</v>
      </c>
      <c r="AA281" t="str" cm="1">
        <f t="array" ref="AA281:AA283">_xlfn.LET(_xlpm.sentence, AA280,
  _xlpm.words, _xlfn.TEXTSPLIT(_xlpm.sentence, " "),
  _xlpm.n, COLUMNS(_xlpm.words),
  IF(_xlpm.n&lt;3, "", INDEX(_xlpm.words, _xlfn.SEQUENCE(_xlpm.n-2)) &amp; " " &amp; INDEX(_xlpm.words, _xlfn.SEQUENCE(_xlpm.n-2)+1) &amp; " " &amp; INDEX(_xlpm.words, _xlfn.SEQUENCE(_xlpm.n-2)+2))
)</f>
        <v>the cat is</v>
      </c>
      <c r="AG281" t="str" cm="1">
        <f t="array" ref="AG281:AG283">_xlfn.LET(_xlpm.sentence, AG280,
  _xlpm.words, _xlfn.TEXTSPLIT(_xlpm.sentence, " "),
  _xlpm.n, COLUMNS(_xlpm.words),
  IF(_xlpm.n&lt;4, "", INDEX(_xlpm.words, _xlfn.SEQUENCE(_xlpm.n-3)) &amp; " " &amp; INDEX(_xlpm.words, _xlfn.SEQUENCE(_xlpm.n-3)+1) &amp; " " &amp; INDEX(_xlpm.words, _xlfn.SEQUENCE(_xlpm.n-3)+2) &amp;  " " &amp; INDEX(_xlpm.words, _xlfn.SEQUENCE(_xlpm.n-3)+3))
)</f>
        <v>the cat is on</v>
      </c>
      <c r="AK281" t="str" cm="1">
        <f t="array" ref="AK281:AK282">_xlfn.LET(_xlpm.sentence, AK280,
  _xlpm.words, _xlfn.TEXTSPLIT(_xlpm.sentence, " "),
  _xlpm.n, COLUMNS(_xlpm.words),
  IF(_xlpm.n&lt;4, "", INDEX(_xlpm.words, _xlfn.SEQUENCE(_xlpm.n-3)) &amp; " " &amp; INDEX(_xlpm.words, _xlfn.SEQUENCE(_xlpm.n-3)+1) &amp; " " &amp; INDEX(_xlpm.words, _xlfn.SEQUENCE(_xlpm.n-3)+2) &amp;  " " &amp; INDEX(_xlpm.words, _xlfn.SEQUENCE(_xlpm.n-3)+3))
)</f>
        <v>the cat is on</v>
      </c>
    </row>
    <row r="282" spans="1:41" ht="24" customHeight="1">
      <c r="A282" s="32"/>
      <c r="C282" t="str">
        <v>cat</v>
      </c>
      <c r="H282" t="str">
        <v>is</v>
      </c>
      <c r="M282" t="str">
        <v>cat is</v>
      </c>
      <c r="R282" t="str">
        <v>cat is</v>
      </c>
      <c r="W282" t="str">
        <v>cat is on</v>
      </c>
      <c r="AA282" t="str">
        <v>cat is on</v>
      </c>
      <c r="AG282" t="str">
        <v>cat is on the</v>
      </c>
      <c r="AK282" t="str">
        <v>cat is on mat</v>
      </c>
    </row>
    <row r="283" spans="1:41" ht="24" customHeight="1">
      <c r="A283" s="32"/>
      <c r="C283" t="str">
        <v>is</v>
      </c>
      <c r="H283" t="str">
        <v>on</v>
      </c>
      <c r="M283" t="str">
        <v>is on</v>
      </c>
      <c r="R283" t="str">
        <v>is on</v>
      </c>
      <c r="W283" t="str">
        <v>is on the</v>
      </c>
      <c r="AA283" t="str">
        <v>is on mat</v>
      </c>
      <c r="AG283" t="str">
        <v>is on the mat</v>
      </c>
    </row>
    <row r="284" spans="1:41" ht="24" customHeight="1">
      <c r="A284" s="32"/>
      <c r="C284" t="str">
        <v>on</v>
      </c>
      <c r="H284" t="str">
        <v>the</v>
      </c>
      <c r="M284" t="str">
        <v>on the</v>
      </c>
      <c r="R284" t="str">
        <v>on mat</v>
      </c>
      <c r="W284" t="str">
        <v>on the mat</v>
      </c>
    </row>
    <row r="285" spans="1:41" ht="24" customHeight="1">
      <c r="A285" s="32"/>
      <c r="C285" t="str">
        <v>the</v>
      </c>
      <c r="H285" t="str">
        <v>pig</v>
      </c>
      <c r="M285" t="str">
        <v>the mat</v>
      </c>
    </row>
    <row r="286" spans="1:41" ht="24" customHeight="1">
      <c r="A286" s="32"/>
      <c r="C286" t="str">
        <v>mat</v>
      </c>
    </row>
    <row r="287" spans="1:41" ht="24" customHeight="1">
      <c r="A287" s="32"/>
      <c r="F287" s="7" t="s">
        <v>98</v>
      </c>
      <c r="P287" s="7" t="s">
        <v>98</v>
      </c>
      <c r="Z287" s="7" t="s">
        <v>98</v>
      </c>
      <c r="AJ287" s="7" t="s">
        <v>98</v>
      </c>
    </row>
    <row r="288" spans="1:41" ht="68.099999999999994" customHeight="1">
      <c r="A288" s="32"/>
      <c r="C288" s="3" t="s">
        <v>97</v>
      </c>
      <c r="F288" s="66" t="str" cm="1">
        <f t="array" ref="F288:J288">TRANSPOSE(_xlfn.ANCHORARRAY(H281))</f>
        <v>cat</v>
      </c>
      <c r="G288" s="66" t="str">
        <v>is</v>
      </c>
      <c r="H288" s="66" t="str">
        <v>on</v>
      </c>
      <c r="I288" s="66" t="str">
        <v>the</v>
      </c>
      <c r="J288" s="66" t="str">
        <v>pig</v>
      </c>
      <c r="M288" s="3" t="s">
        <v>97</v>
      </c>
      <c r="P288" s="66" t="str" cm="1">
        <f t="array" ref="P288:S288">TRANSPOSE(_xlfn.ANCHORARRAY(R281))</f>
        <v>the cat</v>
      </c>
      <c r="Q288" s="66" t="str">
        <v>cat is</v>
      </c>
      <c r="R288" s="66" t="str">
        <v>is on</v>
      </c>
      <c r="S288" s="66" t="str">
        <v>on mat</v>
      </c>
      <c r="W288" s="3" t="s">
        <v>97</v>
      </c>
      <c r="Z288" s="66" t="str" cm="1">
        <f t="array" ref="Z288:AB288">TRANSPOSE(_xlfn.ANCHORARRAY(AA281))</f>
        <v>the cat is</v>
      </c>
      <c r="AA288" s="66" t="str">
        <v>cat is on</v>
      </c>
      <c r="AB288" s="66" t="str">
        <v>is on mat</v>
      </c>
      <c r="AG288" s="3" t="s">
        <v>97</v>
      </c>
      <c r="AJ288" s="66" t="str" cm="1">
        <f t="array" ref="AJ288:AK288">TRANSPOSE(_xlfn.ANCHORARRAY(AK281))</f>
        <v>the cat is on</v>
      </c>
      <c r="AK288" s="66" t="str">
        <v>cat is on mat</v>
      </c>
    </row>
    <row r="289" spans="1:37" ht="24" customHeight="1">
      <c r="A289" s="32"/>
      <c r="E289" s="56" t="str" cm="1">
        <f t="array" ref="E289:E294">_xlfn.ANCHORARRAY(C281)</f>
        <v>the</v>
      </c>
      <c r="F289" s="6" cm="1">
        <f t="array" ref="F289:J294">IF(_xlfn.ANCHORARRAY(F288)=_xlfn.ANCHORARRAY(E289),1,0)</f>
        <v>0</v>
      </c>
      <c r="G289" s="6">
        <v>0</v>
      </c>
      <c r="H289" s="6">
        <v>0</v>
      </c>
      <c r="I289" s="6">
        <v>1</v>
      </c>
      <c r="J289" s="6">
        <v>0</v>
      </c>
      <c r="O289" s="65" t="str" cm="1">
        <f t="array" ref="O289:O293">_xlfn.ANCHORARRAY(M281)</f>
        <v>the cat</v>
      </c>
      <c r="P289" s="6" cm="1">
        <f t="array" ref="P289:S293">IF(_xlfn.ANCHORARRAY(P288)=_xlfn.ANCHORARRAY(O289),1,0)</f>
        <v>1</v>
      </c>
      <c r="Q289" s="6">
        <v>0</v>
      </c>
      <c r="R289" s="6">
        <v>0</v>
      </c>
      <c r="S289" s="6">
        <v>0</v>
      </c>
      <c r="Y289" s="65" t="str" cm="1">
        <f t="array" ref="Y289:Y292">_xlfn.ANCHORARRAY(W281)</f>
        <v>the cat is</v>
      </c>
      <c r="Z289" s="6" cm="1">
        <f t="array" ref="Z289:AB292">IF(_xlfn.ANCHORARRAY(Z288)=_xlfn.ANCHORARRAY(Y289),1,0)</f>
        <v>1</v>
      </c>
      <c r="AA289" s="6">
        <v>0</v>
      </c>
      <c r="AB289" s="6">
        <v>0</v>
      </c>
      <c r="AI289" s="65" t="str" cm="1">
        <f t="array" ref="AI289:AI291">_xlfn.ANCHORARRAY(AG281)</f>
        <v>the cat is on</v>
      </c>
      <c r="AJ289" s="6" cm="1">
        <f t="array" ref="AJ289:AK291">IF(_xlfn.ANCHORARRAY(AJ288)=_xlfn.ANCHORARRAY(AI289),1,0)</f>
        <v>1</v>
      </c>
      <c r="AK289" s="6">
        <v>0</v>
      </c>
    </row>
    <row r="290" spans="1:37" ht="24" customHeight="1">
      <c r="A290" s="32"/>
      <c r="E290" s="56" t="str">
        <v>cat</v>
      </c>
      <c r="F290" s="6">
        <v>1</v>
      </c>
      <c r="G290" s="6">
        <v>0</v>
      </c>
      <c r="H290" s="6">
        <v>0</v>
      </c>
      <c r="I290" s="6">
        <v>0</v>
      </c>
      <c r="J290" s="6">
        <v>0</v>
      </c>
      <c r="O290" s="65" t="str">
        <v>cat is</v>
      </c>
      <c r="P290" s="6">
        <v>0</v>
      </c>
      <c r="Q290" s="6">
        <v>1</v>
      </c>
      <c r="R290" s="6">
        <v>0</v>
      </c>
      <c r="S290" s="6">
        <v>0</v>
      </c>
      <c r="Y290" s="65" t="str">
        <v>cat is on</v>
      </c>
      <c r="Z290" s="6">
        <v>0</v>
      </c>
      <c r="AA290" s="6">
        <v>1</v>
      </c>
      <c r="AB290" s="6">
        <v>0</v>
      </c>
      <c r="AI290" s="65" t="str">
        <v>cat is on the</v>
      </c>
      <c r="AJ290" s="6">
        <v>0</v>
      </c>
      <c r="AK290" s="6">
        <v>0</v>
      </c>
    </row>
    <row r="291" spans="1:37" ht="24" customHeight="1">
      <c r="A291" s="32"/>
      <c r="E291" s="56" t="str">
        <v>is</v>
      </c>
      <c r="F291" s="6">
        <v>0</v>
      </c>
      <c r="G291" s="6">
        <v>1</v>
      </c>
      <c r="H291" s="6">
        <v>0</v>
      </c>
      <c r="I291" s="6">
        <v>0</v>
      </c>
      <c r="J291" s="6">
        <v>0</v>
      </c>
      <c r="O291" s="65" t="str">
        <v>is on</v>
      </c>
      <c r="P291" s="6">
        <v>0</v>
      </c>
      <c r="Q291" s="6">
        <v>0</v>
      </c>
      <c r="R291" s="6">
        <v>1</v>
      </c>
      <c r="S291" s="6">
        <v>0</v>
      </c>
      <c r="Y291" s="65" t="str">
        <v>is on the</v>
      </c>
      <c r="Z291" s="6">
        <v>0</v>
      </c>
      <c r="AA291" s="6">
        <v>0</v>
      </c>
      <c r="AB291" s="6">
        <v>0</v>
      </c>
      <c r="AI291" s="65" t="str">
        <v>is on the mat</v>
      </c>
      <c r="AJ291" s="6">
        <v>0</v>
      </c>
      <c r="AK291" s="6">
        <v>0</v>
      </c>
    </row>
    <row r="292" spans="1:37" ht="24" customHeight="1">
      <c r="A292" s="32"/>
      <c r="E292" s="56" t="str">
        <v>on</v>
      </c>
      <c r="F292" s="6">
        <v>0</v>
      </c>
      <c r="G292" s="6">
        <v>0</v>
      </c>
      <c r="H292" s="6">
        <v>1</v>
      </c>
      <c r="I292" s="6">
        <v>0</v>
      </c>
      <c r="J292" s="6">
        <v>0</v>
      </c>
      <c r="O292" s="65" t="str">
        <v>on the</v>
      </c>
      <c r="P292" s="6">
        <v>0</v>
      </c>
      <c r="Q292" s="6">
        <v>0</v>
      </c>
      <c r="R292" s="6">
        <v>0</v>
      </c>
      <c r="S292" s="6">
        <v>0</v>
      </c>
      <c r="Y292" s="65" t="str">
        <v>on the mat</v>
      </c>
      <c r="Z292" s="6">
        <v>0</v>
      </c>
      <c r="AA292" s="6">
        <v>0</v>
      </c>
      <c r="AB292" s="6">
        <v>0</v>
      </c>
    </row>
    <row r="293" spans="1:37" ht="24" customHeight="1">
      <c r="A293" s="32"/>
      <c r="E293" s="56" t="str">
        <v>the</v>
      </c>
      <c r="F293" s="6">
        <v>0</v>
      </c>
      <c r="G293" s="6">
        <v>0</v>
      </c>
      <c r="H293" s="6">
        <v>0</v>
      </c>
      <c r="I293" s="6">
        <v>1</v>
      </c>
      <c r="J293" s="6">
        <v>0</v>
      </c>
      <c r="O293" s="65" t="str">
        <v>the mat</v>
      </c>
      <c r="P293" s="6">
        <v>0</v>
      </c>
      <c r="Q293" s="6">
        <v>0</v>
      </c>
      <c r="R293" s="6">
        <v>0</v>
      </c>
      <c r="S293" s="6">
        <v>0</v>
      </c>
    </row>
    <row r="294" spans="1:37" ht="24" customHeight="1">
      <c r="A294" s="32"/>
      <c r="E294" s="56" t="str">
        <v>mat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</row>
    <row r="295" spans="1:37" ht="24" customHeight="1">
      <c r="A295" s="32"/>
    </row>
    <row r="296" spans="1:37" ht="24" customHeight="1">
      <c r="A296" s="32"/>
      <c r="F296" s="6" cm="1">
        <f t="array" ref="F296:J296">IF(_xlfn.BYCOL(_xlfn.ANCHORARRAY(F289),_xleta.SUM)&gt;=1, 1, 0)</f>
        <v>1</v>
      </c>
      <c r="G296" s="6">
        <v>1</v>
      </c>
      <c r="H296" s="6">
        <v>1</v>
      </c>
      <c r="I296" s="6">
        <v>1</v>
      </c>
      <c r="J296" s="6">
        <v>0</v>
      </c>
      <c r="P296" s="6" cm="1">
        <f t="array" ref="P296:S296">_xlfn.BYCOL(_xlfn.ANCHORARRAY(P289),_xleta.SUM)</f>
        <v>1</v>
      </c>
      <c r="Q296" s="6">
        <v>1</v>
      </c>
      <c r="R296" s="6">
        <v>1</v>
      </c>
      <c r="S296" s="6">
        <v>0</v>
      </c>
      <c r="Z296" s="6" cm="1">
        <f t="array" ref="Z296:AB296">_xlfn.BYCOL(_xlfn.ANCHORARRAY(Z289),_xleta.SUM)</f>
        <v>1</v>
      </c>
      <c r="AA296" s="6">
        <v>1</v>
      </c>
      <c r="AB296" s="6">
        <v>0</v>
      </c>
      <c r="AJ296" s="6" cm="1">
        <f t="array" ref="AJ296:AK296">_xlfn.BYCOL(_xlfn.ANCHORARRAY(AJ289),_xleta.SUM)</f>
        <v>1</v>
      </c>
      <c r="AK296" s="6">
        <v>0</v>
      </c>
    </row>
    <row r="297" spans="1:37" ht="24" customHeight="1">
      <c r="A297" s="32"/>
    </row>
    <row r="298" spans="1:37" ht="24" customHeight="1">
      <c r="A298" s="32"/>
      <c r="D298" t="s">
        <v>116</v>
      </c>
      <c r="F298" t="s">
        <v>117</v>
      </c>
      <c r="G298" s="8">
        <f>_xlfn.LET(_xlpm.x,_xlfn.ANCHORARRAY(F296), SUM(_xlpm.x) / COUNTA(_xlpm.x))</f>
        <v>0.8</v>
      </c>
      <c r="O298" t="s">
        <v>118</v>
      </c>
      <c r="P298" s="8" cm="1">
        <f t="array" ref="P298">SUM(_xlfn.ANCHORARRAY(P296)/COLUMNS(_xlfn.ANCHORARRAY(P296)))</f>
        <v>0.75</v>
      </c>
      <c r="Y298" t="s">
        <v>119</v>
      </c>
      <c r="Z298" s="8">
        <f>_xlfn.LET(_xlpm.x,_xlfn.ANCHORARRAY(Z296), SUM(_xlpm.x) / COUNTA(_xlpm.x))</f>
        <v>0.66666666666666663</v>
      </c>
      <c r="AI298" t="s">
        <v>120</v>
      </c>
      <c r="AJ298" s="8">
        <f>_xlfn.LET(_xlpm.x,_xlfn.ANCHORARRAY(AJ296), SUM(_xlpm.x) / COUNTA(_xlpm.x))</f>
        <v>0.5</v>
      </c>
    </row>
    <row r="299" spans="1:37" ht="24" customHeight="1">
      <c r="A299" s="32"/>
    </row>
    <row r="300" spans="1:37" ht="24" customHeight="1">
      <c r="A300" s="32"/>
      <c r="D300" t="s">
        <v>37</v>
      </c>
      <c r="G300" s="8">
        <f>LN(G298)</f>
        <v>-0.22314355131420971</v>
      </c>
      <c r="P300" s="8">
        <f>LN(P298)</f>
        <v>-0.2876820724517809</v>
      </c>
      <c r="Z300" s="8">
        <f>LN(Z298)</f>
        <v>-0.40546510810816444</v>
      </c>
      <c r="AJ300" s="8">
        <f>LN(AJ298)</f>
        <v>-0.69314718055994529</v>
      </c>
    </row>
    <row r="301" spans="1:37" ht="24" customHeight="1">
      <c r="A301" s="32"/>
    </row>
    <row r="302" spans="1:37" ht="24" customHeight="1">
      <c r="A302" s="32"/>
      <c r="D302" t="s">
        <v>121</v>
      </c>
      <c r="G302" s="8">
        <v>0.25</v>
      </c>
      <c r="N302" t="s">
        <v>122</v>
      </c>
      <c r="P302" s="8">
        <v>0.25</v>
      </c>
      <c r="Z302" s="8">
        <v>0.25</v>
      </c>
      <c r="AJ302" s="8">
        <v>0.25</v>
      </c>
    </row>
    <row r="303" spans="1:37" ht="24" customHeight="1">
      <c r="A303" s="32"/>
    </row>
    <row r="304" spans="1:37" ht="24" customHeight="1">
      <c r="A304" s="32"/>
      <c r="D304" t="s">
        <v>123</v>
      </c>
      <c r="G304" s="8">
        <f>G300*G302</f>
        <v>-5.5785887828552427E-2</v>
      </c>
      <c r="P304" s="8">
        <f>P300*P302</f>
        <v>-7.1920518112945225E-2</v>
      </c>
      <c r="Z304" s="8">
        <f>Z300*Z302</f>
        <v>-0.10136627702704111</v>
      </c>
      <c r="AJ304" s="8">
        <f>AJ300*AJ302</f>
        <v>-0.17328679513998632</v>
      </c>
    </row>
    <row r="305" spans="1:31" ht="24" customHeight="1">
      <c r="A305" s="32"/>
    </row>
    <row r="306" spans="1:31" ht="24" customHeight="1">
      <c r="A306" s="32"/>
      <c r="D306" t="s">
        <v>124</v>
      </c>
      <c r="G306" s="8">
        <f>G304+P304+Z304+AJ304</f>
        <v>-0.40235947810852513</v>
      </c>
      <c r="W306" t="s">
        <v>125</v>
      </c>
      <c r="X306" t="s">
        <v>126</v>
      </c>
      <c r="AA306" s="8">
        <f>COUNTA(_xlfn.ANCHORARRAY(H281))</f>
        <v>5</v>
      </c>
    </row>
    <row r="307" spans="1:31" ht="24" customHeight="1">
      <c r="A307" s="32"/>
      <c r="M307" t="s">
        <v>127</v>
      </c>
      <c r="N307" t="s">
        <v>128</v>
      </c>
      <c r="W307" t="s">
        <v>129</v>
      </c>
      <c r="X307" t="s">
        <v>130</v>
      </c>
      <c r="AA307" s="8">
        <f>COUNTA(_xlfn.ANCHORARRAY(E289))</f>
        <v>6</v>
      </c>
      <c r="AE307" t="s">
        <v>131</v>
      </c>
    </row>
    <row r="308" spans="1:31" ht="24" customHeight="1">
      <c r="A308" s="32"/>
      <c r="D308" t="s">
        <v>132</v>
      </c>
      <c r="G308" s="8">
        <f>EXP(G306)</f>
        <v>0.66874030497642201</v>
      </c>
      <c r="M308" t="s">
        <v>57</v>
      </c>
      <c r="N308" t="s">
        <v>133</v>
      </c>
      <c r="W308" t="s">
        <v>134</v>
      </c>
      <c r="Y308">
        <f>EXP(1-AA307/AA306)</f>
        <v>0.81873075307798193</v>
      </c>
      <c r="AE308" s="8">
        <f>Y308*G308</f>
        <v>0.54751825350694527</v>
      </c>
    </row>
    <row r="311" spans="1:31" s="80" customFormat="1" ht="48" thickBot="1">
      <c r="A311" s="80" t="s">
        <v>135</v>
      </c>
    </row>
    <row r="312" spans="1:31" ht="24" customHeight="1" thickTop="1">
      <c r="A312" s="32" t="str">
        <f>HYPERLINK("#A1","[top]")</f>
        <v>[top]</v>
      </c>
    </row>
    <row r="313" spans="1:31" ht="24" customHeight="1">
      <c r="C313" s="7" t="s">
        <v>97</v>
      </c>
      <c r="I313" s="7" t="s">
        <v>98</v>
      </c>
      <c r="N313" t="s">
        <v>136</v>
      </c>
    </row>
    <row r="314" spans="1:31" ht="24" customHeight="1">
      <c r="C314" s="56" t="s">
        <v>137</v>
      </c>
      <c r="D314" s="56"/>
      <c r="I314" s="40" t="s">
        <v>138</v>
      </c>
      <c r="J314" s="40"/>
      <c r="N314" t="s">
        <v>139</v>
      </c>
    </row>
    <row r="315" spans="1:31" ht="24" customHeight="1">
      <c r="C315" s="1" t="str" cm="1">
        <f t="array" ref="C315:F315">_xlfn.LET(_xlpm.sentence, C314,
  _xlpm.words, _xlfn.TEXTSPLIT(_xlpm.sentence, " "),
  _xlpm.words)</f>
        <v>This</v>
      </c>
      <c r="D315" s="1" t="str">
        <v>is</v>
      </c>
      <c r="E315" s="1" t="str">
        <v>a</v>
      </c>
      <c r="F315" s="1" t="str">
        <v>cat.</v>
      </c>
      <c r="I315" s="1" t="str" cm="1">
        <f t="array" ref="I315:K315">_xlfn.LET(_xlpm.sentence, I314,
  _xlpm.words, _xlfn.TEXTSPLIT(_xlpm.sentence, " "),
  _xlpm.words)</f>
        <v>Cat</v>
      </c>
      <c r="J315" s="1" t="str">
        <v>is</v>
      </c>
      <c r="K315" s="1" t="str">
        <v>here.</v>
      </c>
      <c r="N315" t="s">
        <v>140</v>
      </c>
    </row>
    <row r="316" spans="1:31" ht="24" customHeight="1" thickBot="1">
      <c r="C316" s="15" t="s">
        <v>6</v>
      </c>
      <c r="D316" s="15" t="s">
        <v>6</v>
      </c>
      <c r="E316" s="15" t="s">
        <v>6</v>
      </c>
      <c r="F316" s="15" t="s">
        <v>6</v>
      </c>
      <c r="I316" s="15" t="s">
        <v>6</v>
      </c>
      <c r="J316" s="15" t="s">
        <v>6</v>
      </c>
      <c r="K316" s="15" t="s">
        <v>6</v>
      </c>
      <c r="M316" s="38"/>
      <c r="N316" t="s">
        <v>141</v>
      </c>
      <c r="O316" s="38"/>
      <c r="P316" s="38"/>
      <c r="Q316" s="38"/>
      <c r="R316" s="38"/>
      <c r="S316" s="3" t="s">
        <v>142</v>
      </c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</row>
    <row r="317" spans="1:31" ht="24" customHeight="1" thickBot="1">
      <c r="C317" s="50"/>
      <c r="D317" s="51" t="s">
        <v>143</v>
      </c>
      <c r="E317" s="52"/>
      <c r="I317" s="50"/>
      <c r="J317" s="51" t="s">
        <v>143</v>
      </c>
      <c r="K317" s="52"/>
      <c r="R317" s="1" t="s">
        <v>144</v>
      </c>
      <c r="S317" s="1">
        <v>1</v>
      </c>
      <c r="T317" s="1">
        <v>2</v>
      </c>
      <c r="U317" s="1">
        <v>3</v>
      </c>
    </row>
    <row r="318" spans="1:31" ht="24" customHeight="1">
      <c r="C318" s="15" t="s">
        <v>6</v>
      </c>
      <c r="D318" s="15" t="s">
        <v>6</v>
      </c>
      <c r="E318" s="15" t="s">
        <v>6</v>
      </c>
      <c r="F318" s="15" t="s">
        <v>6</v>
      </c>
      <c r="I318" s="15" t="s">
        <v>6</v>
      </c>
      <c r="J318" s="15" t="s">
        <v>6</v>
      </c>
      <c r="K318" s="15" t="s">
        <v>6</v>
      </c>
      <c r="R318" s="1"/>
      <c r="S318" s="1" t="s">
        <v>145</v>
      </c>
      <c r="T318" s="1" t="s">
        <v>146</v>
      </c>
      <c r="U318" s="1" t="s">
        <v>147</v>
      </c>
    </row>
    <row r="319" spans="1:31" ht="24" customHeight="1">
      <c r="C319" s="57">
        <v>0</v>
      </c>
      <c r="D319" s="57">
        <v>0</v>
      </c>
      <c r="E319" s="57">
        <v>1</v>
      </c>
      <c r="F319" s="57">
        <v>2</v>
      </c>
      <c r="I319" s="67">
        <v>0</v>
      </c>
      <c r="J319" s="67">
        <v>1</v>
      </c>
      <c r="K319" s="67">
        <v>-1</v>
      </c>
      <c r="S319" s="67" cm="1">
        <f t="array" ref="S319:U322">I319:K322</f>
        <v>0</v>
      </c>
      <c r="T319" s="67">
        <v>1</v>
      </c>
      <c r="U319" s="67">
        <v>-1</v>
      </c>
    </row>
    <row r="320" spans="1:31" ht="24" customHeight="1">
      <c r="C320" s="58">
        <v>2</v>
      </c>
      <c r="D320" s="58">
        <v>-2</v>
      </c>
      <c r="E320" s="58">
        <v>0</v>
      </c>
      <c r="F320" s="58">
        <v>1</v>
      </c>
      <c r="I320" s="68">
        <v>2</v>
      </c>
      <c r="J320" s="68">
        <v>2</v>
      </c>
      <c r="K320" s="68">
        <v>1</v>
      </c>
      <c r="S320" s="68">
        <v>2</v>
      </c>
      <c r="T320" s="68">
        <v>2</v>
      </c>
      <c r="U320" s="68">
        <v>1</v>
      </c>
    </row>
    <row r="321" spans="3:28" ht="24" customHeight="1">
      <c r="C321" s="58">
        <v>3</v>
      </c>
      <c r="D321" s="58">
        <v>-3</v>
      </c>
      <c r="E321" s="58">
        <v>1</v>
      </c>
      <c r="F321" s="58">
        <v>1</v>
      </c>
      <c r="I321" s="68">
        <v>3</v>
      </c>
      <c r="J321" s="68">
        <v>3</v>
      </c>
      <c r="K321" s="68">
        <v>-1</v>
      </c>
      <c r="S321" s="68">
        <v>3</v>
      </c>
      <c r="T321" s="68">
        <v>3</v>
      </c>
      <c r="U321" s="68">
        <v>-1</v>
      </c>
    </row>
    <row r="322" spans="3:28" ht="24" customHeight="1">
      <c r="C322" s="59">
        <v>1</v>
      </c>
      <c r="D322" s="59">
        <v>-1</v>
      </c>
      <c r="E322" s="59">
        <v>4</v>
      </c>
      <c r="F322" s="59">
        <v>1</v>
      </c>
      <c r="I322" s="69">
        <v>1</v>
      </c>
      <c r="J322" s="69">
        <v>4</v>
      </c>
      <c r="K322" s="69">
        <v>-2</v>
      </c>
      <c r="S322" s="69">
        <v>1</v>
      </c>
      <c r="T322" s="69">
        <v>4</v>
      </c>
      <c r="U322" s="69">
        <v>-2</v>
      </c>
    </row>
    <row r="323" spans="3:28" ht="24" customHeight="1">
      <c r="S323" s="1" t="s">
        <v>6</v>
      </c>
      <c r="T323" s="1" t="s">
        <v>6</v>
      </c>
      <c r="U323" s="1" t="s">
        <v>6</v>
      </c>
    </row>
    <row r="324" spans="3:28" ht="24" customHeight="1">
      <c r="Q324" t="s">
        <v>148</v>
      </c>
      <c r="S324" s="60" cm="1">
        <f t="array" ref="S324:S327">_xlfn.LET(_xlpm.x,S319:S322,_xlpm.x / SQRT(SUM(_xlpm.x^2)))</f>
        <v>0</v>
      </c>
      <c r="T324" s="60" cm="1">
        <f t="array" ref="T324:T327">_xlfn.LET(_xlpm.x,T319:T322,_xlpm.x / SQRT(SUM(_xlpm.x^2)))</f>
        <v>0.18257418583505536</v>
      </c>
      <c r="U324" s="60" cm="1">
        <f t="array" ref="U324:U327">_xlfn.LET(_xlpm.x,U319:U322,_xlpm.x / SQRT(SUM(_xlpm.x^2)))</f>
        <v>-0.3779644730092272</v>
      </c>
    </row>
    <row r="325" spans="3:28" ht="24" customHeight="1">
      <c r="S325" s="61">
        <v>0.53452248382484879</v>
      </c>
      <c r="T325" s="61">
        <v>0.36514837167011072</v>
      </c>
      <c r="U325" s="61">
        <v>0.3779644730092272</v>
      </c>
      <c r="Y325" s="62"/>
    </row>
    <row r="326" spans="3:28" ht="24" customHeight="1">
      <c r="S326" s="61">
        <v>0.80178372573727319</v>
      </c>
      <c r="T326" s="61">
        <v>0.54772255750516607</v>
      </c>
      <c r="U326" s="61">
        <v>-0.3779644730092272</v>
      </c>
    </row>
    <row r="327" spans="3:28" ht="24" customHeight="1">
      <c r="S327" s="63">
        <v>0.2672612419124244</v>
      </c>
      <c r="T327" s="63">
        <v>0.73029674334022143</v>
      </c>
      <c r="U327" s="63">
        <v>-0.7559289460184544</v>
      </c>
      <c r="X327" s="62" t="s">
        <v>103</v>
      </c>
    </row>
    <row r="328" spans="3:28" ht="24" customHeight="1">
      <c r="G328" s="1" t="s">
        <v>149</v>
      </c>
      <c r="H328" s="1"/>
      <c r="I328" s="3" t="s">
        <v>150</v>
      </c>
      <c r="N328" t="s">
        <v>148</v>
      </c>
      <c r="S328" s="1" t="s">
        <v>6</v>
      </c>
      <c r="T328" s="1" t="s">
        <v>6</v>
      </c>
      <c r="U328" s="1" t="s">
        <v>6</v>
      </c>
      <c r="W328" t="s">
        <v>151</v>
      </c>
      <c r="Y328" s="1" t="s">
        <v>104</v>
      </c>
    </row>
    <row r="329" spans="3:28" ht="24" customHeight="1">
      <c r="G329" s="1">
        <v>1</v>
      </c>
      <c r="H329" s="1" t="s">
        <v>152</v>
      </c>
      <c r="I329" s="9" cm="1">
        <f t="array" ref="I329:L332">TRANSPOSE(C319:F322)</f>
        <v>0</v>
      </c>
      <c r="J329" s="10">
        <v>2</v>
      </c>
      <c r="K329" s="10">
        <v>3</v>
      </c>
      <c r="L329" s="11">
        <v>1</v>
      </c>
      <c r="M329" s="1" t="s">
        <v>14</v>
      </c>
      <c r="N329" s="12" cm="1">
        <f t="array" ref="N329:Q329">_xlfn.LET(_xlpm.x,I329:L329,_xlpm.x / SQRT(SUM(_xlpm.x^2)))</f>
        <v>0</v>
      </c>
      <c r="O329" s="13">
        <v>0.53452248382484879</v>
      </c>
      <c r="P329" s="13">
        <v>0.80178372573727319</v>
      </c>
      <c r="Q329" s="14">
        <v>0.2672612419124244</v>
      </c>
      <c r="R329" s="1" t="s">
        <v>14</v>
      </c>
      <c r="S329" s="6" cm="1">
        <f t="array" ref="S329:U332">MMULT(N329:Q332,S324:U327)</f>
        <v>1</v>
      </c>
      <c r="T329" s="6">
        <v>0.82951506200625325</v>
      </c>
      <c r="U329" s="6">
        <v>-0.30304576336566319</v>
      </c>
      <c r="V329" s="1" t="s">
        <v>14</v>
      </c>
      <c r="W329" s="6" cm="1">
        <f t="array" ref="W329:W332">_xlfn.BYROW(_xlfn.ANCHORARRAY(S329),_xleta.MAX)</f>
        <v>1</v>
      </c>
      <c r="Y329" s="6">
        <f>AVERAGE(_xlfn.ANCHORARRAY(W329))</f>
        <v>0.73069521111653069</v>
      </c>
    </row>
    <row r="330" spans="3:28" ht="24" customHeight="1">
      <c r="G330" s="1">
        <v>2</v>
      </c>
      <c r="H330" s="1" t="s">
        <v>153</v>
      </c>
      <c r="I330" s="9">
        <v>0</v>
      </c>
      <c r="J330" s="10">
        <v>-2</v>
      </c>
      <c r="K330" s="10">
        <v>-3</v>
      </c>
      <c r="L330" s="11">
        <v>-1</v>
      </c>
      <c r="M330" s="1" t="s">
        <v>14</v>
      </c>
      <c r="N330" s="12" cm="1">
        <f t="array" ref="N330:Q330">_xlfn.LET(_xlpm.x,I330:L330,_xlpm.x / SQRT(SUM(_xlpm.x^2)))</f>
        <v>0</v>
      </c>
      <c r="O330" s="13">
        <v>-0.53452248382484879</v>
      </c>
      <c r="P330" s="13">
        <v>-0.80178372573727319</v>
      </c>
      <c r="Q330" s="14">
        <v>-0.2672612419124244</v>
      </c>
      <c r="R330" s="1" t="s">
        <v>14</v>
      </c>
      <c r="S330" s="6">
        <v>-1</v>
      </c>
      <c r="T330" s="6">
        <v>-0.82951506200625325</v>
      </c>
      <c r="U330" s="6">
        <v>0.30304576336566319</v>
      </c>
      <c r="V330" s="1" t="s">
        <v>14</v>
      </c>
      <c r="W330" s="6">
        <v>0.30304576336566319</v>
      </c>
    </row>
    <row r="331" spans="3:28" ht="24" customHeight="1">
      <c r="G331" s="1">
        <v>3</v>
      </c>
      <c r="H331" s="1" t="s">
        <v>154</v>
      </c>
      <c r="I331" s="9">
        <v>1</v>
      </c>
      <c r="J331" s="10">
        <v>0</v>
      </c>
      <c r="K331" s="10">
        <v>1</v>
      </c>
      <c r="L331" s="11">
        <v>4</v>
      </c>
      <c r="M331" s="1" t="s">
        <v>14</v>
      </c>
      <c r="N331" s="12" cm="1">
        <f t="array" ref="N331:Q331">_xlfn.LET(_xlpm.x,I331:L331,_xlpm.x / SQRT(SUM(_xlpm.x^2)))</f>
        <v>0.23570226039551587</v>
      </c>
      <c r="O331" s="13">
        <v>0</v>
      </c>
      <c r="P331" s="13">
        <v>0.23570226039551587</v>
      </c>
      <c r="Q331" s="14">
        <v>0.94280904158206347</v>
      </c>
      <c r="R331" s="1" t="s">
        <v>14</v>
      </c>
      <c r="S331" s="6">
        <v>0.44095855184409849</v>
      </c>
      <c r="T331" s="6">
        <v>0.86066296582387047</v>
      </c>
      <c r="U331" s="6">
        <v>-0.89087080637474791</v>
      </c>
      <c r="V331" s="1" t="s">
        <v>14</v>
      </c>
      <c r="W331" s="6">
        <v>0.86066296582387047</v>
      </c>
    </row>
    <row r="332" spans="3:28" ht="24" customHeight="1">
      <c r="G332" s="1">
        <v>4</v>
      </c>
      <c r="H332" s="1" t="s">
        <v>155</v>
      </c>
      <c r="I332" s="9">
        <v>2</v>
      </c>
      <c r="J332" s="10">
        <v>1</v>
      </c>
      <c r="K332" s="10">
        <v>1</v>
      </c>
      <c r="L332" s="11">
        <v>1</v>
      </c>
      <c r="M332" s="1" t="s">
        <v>14</v>
      </c>
      <c r="N332" s="12" cm="1">
        <f t="array" ref="N332:Q332">_xlfn.LET(_xlpm.x,I332:L332,_xlpm.x / SQRT(SUM(_xlpm.x^2)))</f>
        <v>0.7559289460184544</v>
      </c>
      <c r="O332" s="13">
        <v>0.3779644730092272</v>
      </c>
      <c r="P332" s="13">
        <v>0.3779644730092272</v>
      </c>
      <c r="Q332" s="14">
        <v>0.3779644730092272</v>
      </c>
      <c r="R332" s="1" t="s">
        <v>14</v>
      </c>
      <c r="S332" s="6">
        <v>0.60609152673132638</v>
      </c>
      <c r="T332" s="6">
        <v>0.75907211527658947</v>
      </c>
      <c r="U332" s="6">
        <v>-0.57142857142857129</v>
      </c>
      <c r="V332" s="1" t="s">
        <v>14</v>
      </c>
      <c r="W332" s="6">
        <v>0.75907211527658947</v>
      </c>
    </row>
    <row r="333" spans="3:28" ht="24" customHeight="1">
      <c r="S333" s="1" t="s">
        <v>6</v>
      </c>
      <c r="T333" s="1" t="s">
        <v>6</v>
      </c>
      <c r="U333" s="1" t="s">
        <v>6</v>
      </c>
    </row>
    <row r="334" spans="3:28" ht="24" customHeight="1">
      <c r="R334" s="5" t="s">
        <v>151</v>
      </c>
      <c r="S334" s="6" cm="1">
        <f t="array" ref="S334:U334">_xlfn.BYCOL(_xlfn.ANCHORARRAY(S329),_xleta.MAX)</f>
        <v>1</v>
      </c>
      <c r="T334" s="6">
        <v>0.86066296582387047</v>
      </c>
      <c r="U334" s="6">
        <v>0.30304576336566319</v>
      </c>
      <c r="Y334" s="1" t="s">
        <v>6</v>
      </c>
      <c r="AB334" t="s">
        <v>156</v>
      </c>
    </row>
    <row r="335" spans="3:28" ht="24" customHeight="1">
      <c r="Q335" s="62" t="s">
        <v>157</v>
      </c>
      <c r="Y335" t="s">
        <v>89</v>
      </c>
      <c r="AB335" s="8">
        <f>2*S336*Y329</f>
        <v>1.0540077377798844</v>
      </c>
    </row>
    <row r="336" spans="3:28" ht="24" customHeight="1">
      <c r="R336" t="s">
        <v>57</v>
      </c>
      <c r="S336" s="6">
        <f>AVERAGE(_xlfn.ANCHORARRAY(S334))</f>
        <v>0.72123624306317791</v>
      </c>
      <c r="X336" s="1" t="s">
        <v>14</v>
      </c>
      <c r="Y336" s="8">
        <f>AB335/AB337</f>
        <v>0.72593491569156932</v>
      </c>
      <c r="Z336" s="64" t="s">
        <v>158</v>
      </c>
    </row>
    <row r="337" spans="1:28" ht="24" customHeight="1">
      <c r="AB337" s="8">
        <f>S336+Y329</f>
        <v>1.4519314541797086</v>
      </c>
    </row>
    <row r="338" spans="1:28" ht="24" customHeight="1">
      <c r="AB338" t="s">
        <v>159</v>
      </c>
    </row>
    <row r="341" spans="1:28" ht="24" customHeight="1">
      <c r="A341" s="32"/>
    </row>
    <row r="342" spans="1:28" ht="24" customHeight="1">
      <c r="A342" s="32"/>
    </row>
  </sheetData>
  <conditionalFormatting sqref="C252:C253 K257:K258 E258 G258:J258 F261">
    <cfRule type="cellIs" dxfId="30" priority="7" operator="equal">
      <formula>1</formula>
    </cfRule>
  </conditionalFormatting>
  <conditionalFormatting sqref="C315">
    <cfRule type="cellIs" dxfId="29" priority="36" operator="equal">
      <formula>1</formula>
    </cfRule>
  </conditionalFormatting>
  <conditionalFormatting sqref="D65:G74">
    <cfRule type="colorScale" priority="19">
      <colorScale>
        <cfvo type="min"/>
        <cfvo type="max"/>
        <color rgb="FFFCFCFF"/>
        <color rgb="FF63BE7B"/>
      </colorScale>
    </cfRule>
  </conditionalFormatting>
  <conditionalFormatting sqref="D107:G116">
    <cfRule type="colorScale" priority="30">
      <colorScale>
        <cfvo type="min"/>
        <cfvo type="max"/>
        <color rgb="FFFCFCFF"/>
        <color rgb="FF63BE7B"/>
      </colorScale>
    </cfRule>
  </conditionalFormatting>
  <conditionalFormatting sqref="D119:G120 D48:G60">
    <cfRule type="colorScale" priority="47">
      <colorScale>
        <cfvo type="min"/>
        <cfvo type="max"/>
        <color rgb="FFFCFCFF"/>
        <color rgb="FF63BE7B"/>
      </colorScale>
    </cfRule>
  </conditionalFormatting>
  <conditionalFormatting sqref="E261:E262 I261:J262">
    <cfRule type="cellIs" dxfId="28" priority="5" operator="equal">
      <formula>1</formula>
    </cfRule>
  </conditionalFormatting>
  <conditionalFormatting sqref="E252:K256">
    <cfRule type="cellIs" dxfId="27" priority="6" operator="equal">
      <formula>1</formula>
    </cfRule>
  </conditionalFormatting>
  <conditionalFormatting sqref="E190:L190 I58:L60 J48:M57 V48:V57 U58:X60 W49:Y57">
    <cfRule type="dataBar" priority="43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{7F8A83DC-6CB5-BF40-87E2-CD9BCD59E17D}</x14:id>
        </ext>
      </extLst>
    </cfRule>
  </conditionalFormatting>
  <conditionalFormatting sqref="E216:X216">
    <cfRule type="dataBar" priority="63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{2574AA88-2FFB-404D-9716-36171CFC9D0F}</x14:id>
        </ext>
      </extLst>
    </cfRule>
  </conditionalFormatting>
  <conditionalFormatting sqref="E219:X243">
    <cfRule type="cellIs" dxfId="26" priority="62" stopIfTrue="1" operator="equal">
      <formula>1</formula>
    </cfRule>
  </conditionalFormatting>
  <conditionalFormatting sqref="E273:X273 E274:N275 M276:N279 L277:L284 M281:U286 K285:K288 O290:O294 T296:U296 Q302:X304 M305:X305 M306:W306 M307:X309">
    <cfRule type="cellIs" dxfId="25" priority="61" operator="equal">
      <formula>1</formula>
    </cfRule>
  </conditionalFormatting>
  <conditionalFormatting sqref="F131:F135">
    <cfRule type="dataBar" priority="67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{2D296215-EBEA-1341-9973-8C68481A601F}</x14:id>
        </ext>
      </extLst>
    </cfRule>
  </conditionalFormatting>
  <conditionalFormatting sqref="F287:J288">
    <cfRule type="cellIs" dxfId="24" priority="40" operator="equal">
      <formula>1</formula>
    </cfRule>
  </conditionalFormatting>
  <conditionalFormatting sqref="G153:G172">
    <cfRule type="dataBar" priority="65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{823B7BBE-2AC8-2346-A74E-B201BF7F1189}</x14:id>
        </ext>
      </extLst>
    </cfRule>
  </conditionalFormatting>
  <conditionalFormatting sqref="H257:J257">
    <cfRule type="cellIs" dxfId="23" priority="8" operator="equal">
      <formula>1</formula>
    </cfRule>
  </conditionalFormatting>
  <conditionalFormatting sqref="I65:I74">
    <cfRule type="dataBar" priority="23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{B4592E8E-021E-9D43-A99B-579610574A1C}</x14:id>
        </ext>
      </extLst>
    </cfRule>
  </conditionalFormatting>
  <conditionalFormatting sqref="I107:I116">
    <cfRule type="dataBar" priority="34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{DA110FE4-3E53-EF46-9C0B-CC56F692D604}</x14:id>
        </ext>
      </extLst>
    </cfRule>
  </conditionalFormatting>
  <conditionalFormatting sqref="I119:I120">
    <cfRule type="dataBar" priority="5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{59F4503D-0308-7349-AF86-5A9674483080}</x14:id>
        </ext>
      </extLst>
    </cfRule>
  </conditionalFormatting>
  <conditionalFormatting sqref="I251">
    <cfRule type="cellIs" dxfId="22" priority="3" operator="equal">
      <formula>1</formula>
    </cfRule>
  </conditionalFormatting>
  <conditionalFormatting sqref="I263:I268">
    <cfRule type="cellIs" dxfId="21" priority="4" operator="equal">
      <formula>1</formula>
    </cfRule>
  </conditionalFormatting>
  <conditionalFormatting sqref="I315">
    <cfRule type="cellIs" dxfId="20" priority="35" operator="equal">
      <formula>1</formula>
    </cfRule>
  </conditionalFormatting>
  <conditionalFormatting sqref="I314:J314">
    <cfRule type="cellIs" dxfId="19" priority="1" operator="equal">
      <formula>1</formula>
    </cfRule>
  </conditionalFormatting>
  <conditionalFormatting sqref="J65:J74">
    <cfRule type="dataBar" priority="22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{ABA0147B-0082-AA4E-8EFD-08504B9C40E7}</x14:id>
        </ext>
      </extLst>
    </cfRule>
  </conditionalFormatting>
  <conditionalFormatting sqref="J107:J116">
    <cfRule type="dataBar" priority="33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{D7FFC1A3-3D21-844C-AFBC-579148C40AD0}</x14:id>
        </ext>
      </extLst>
    </cfRule>
  </conditionalFormatting>
  <conditionalFormatting sqref="J119:J120">
    <cfRule type="dataBar" priority="50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{D511317C-0E74-1949-B3D9-DC6EC1CF12B2}</x14:id>
        </ext>
      </extLst>
    </cfRule>
  </conditionalFormatting>
  <conditionalFormatting sqref="K65:K74">
    <cfRule type="dataBar" priority="2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{86DD0268-3324-5E49-9009-359134B9CABA}</x14:id>
        </ext>
      </extLst>
    </cfRule>
  </conditionalFormatting>
  <conditionalFormatting sqref="K107:K116">
    <cfRule type="dataBar" priority="32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{4E5A51F1-6C8D-AC42-97AD-AC32436F2EC7}</x14:id>
        </ext>
      </extLst>
    </cfRule>
  </conditionalFormatting>
  <conditionalFormatting sqref="K119:K120">
    <cfRule type="dataBar" priority="49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{7D4DC2CD-B1E7-7848-ADD2-75344217237C}</x14:id>
        </ext>
      </extLst>
    </cfRule>
  </conditionalFormatting>
  <conditionalFormatting sqref="K131:K135">
    <cfRule type="dataBar" priority="66">
      <dataBar>
        <cfvo type="num" val="0"/>
        <cfvo type="num" val="1"/>
        <color rgb="FF7030A0"/>
      </dataBar>
      <extLst>
        <ext xmlns:x14="http://schemas.microsoft.com/office/spreadsheetml/2009/9/main" uri="{B025F937-C7B1-47D3-B67F-A62EFF666E3E}">
          <x14:id>{60114A72-2373-2242-8088-9E1258587EDB}</x14:id>
        </ext>
      </extLst>
    </cfRule>
  </conditionalFormatting>
  <conditionalFormatting sqref="L65:L74">
    <cfRule type="dataBar" priority="20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{77878A7C-9022-A54B-A764-D6EABD9909CC}</x14:id>
        </ext>
      </extLst>
    </cfRule>
  </conditionalFormatting>
  <conditionalFormatting sqref="L107:L116">
    <cfRule type="dataBar" priority="3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{82849692-0788-7D48-A58C-971BB1C4B009}</x14:id>
        </ext>
      </extLst>
    </cfRule>
  </conditionalFormatting>
  <conditionalFormatting sqref="L119:L120">
    <cfRule type="dataBar" priority="48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{456D6598-A54B-8145-9E81-0D2BCE91A606}</x14:id>
        </ext>
      </extLst>
    </cfRule>
  </conditionalFormatting>
  <conditionalFormatting sqref="L153:L172">
    <cfRule type="dataBar" priority="2">
      <dataBar>
        <cfvo type="num" val="0"/>
        <cfvo type="num" val="1"/>
        <color rgb="FF7030A0"/>
      </dataBar>
      <extLst>
        <ext xmlns:x14="http://schemas.microsoft.com/office/spreadsheetml/2009/9/main" uri="{B025F937-C7B1-47D3-B67F-A62EFF666E3E}">
          <x14:id>{AFC07A94-23B8-0243-961D-6D8F98C00480}</x14:id>
        </ext>
      </extLst>
    </cfRule>
  </conditionalFormatting>
  <conditionalFormatting sqref="M329:M332">
    <cfRule type="cellIs" dxfId="18" priority="12" operator="equal">
      <formula>1</formula>
    </cfRule>
  </conditionalFormatting>
  <conditionalFormatting sqref="N65:Q74">
    <cfRule type="colorScale" priority="18">
      <colorScale>
        <cfvo type="min"/>
        <cfvo type="max"/>
        <color rgb="FFFCFCFF"/>
        <color rgb="FFF8696B"/>
      </colorScale>
    </cfRule>
  </conditionalFormatting>
  <conditionalFormatting sqref="N107:Q116">
    <cfRule type="colorScale" priority="26">
      <colorScale>
        <cfvo type="min"/>
        <cfvo type="max"/>
        <color rgb="FFFCFCFF"/>
        <color rgb="FFF8696B"/>
      </colorScale>
    </cfRule>
  </conditionalFormatting>
  <conditionalFormatting sqref="O136:P136 G136:M136">
    <cfRule type="dataBar" priority="64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{C21BB4BA-DBF3-D848-B9EB-1722259F1070}</x14:id>
        </ext>
      </extLst>
    </cfRule>
  </conditionalFormatting>
  <conditionalFormatting sqref="O287:T288">
    <cfRule type="cellIs" dxfId="17" priority="39" operator="equal">
      <formula>1</formula>
    </cfRule>
  </conditionalFormatting>
  <conditionalFormatting sqref="R329:R332">
    <cfRule type="cellIs" dxfId="16" priority="13" operator="equal">
      <formula>1</formula>
    </cfRule>
  </conditionalFormatting>
  <conditionalFormatting sqref="S323:U323">
    <cfRule type="cellIs" dxfId="15" priority="11" operator="equal">
      <formula>1</formula>
    </cfRule>
  </conditionalFormatting>
  <conditionalFormatting sqref="S328:U328">
    <cfRule type="cellIs" dxfId="14" priority="14" operator="equal">
      <formula>1</formula>
    </cfRule>
  </conditionalFormatting>
  <conditionalFormatting sqref="S333:U333">
    <cfRule type="cellIs" dxfId="13" priority="15" operator="equal">
      <formula>1</formula>
    </cfRule>
  </conditionalFormatting>
  <conditionalFormatting sqref="S65:V74">
    <cfRule type="colorScale" priority="17">
      <colorScale>
        <cfvo type="min"/>
        <cfvo type="max"/>
        <color rgb="FFFCFCFF"/>
        <color rgb="FFF8696B"/>
      </colorScale>
    </cfRule>
  </conditionalFormatting>
  <conditionalFormatting sqref="S107:V116">
    <cfRule type="colorScale" priority="24">
      <colorScale>
        <cfvo type="min"/>
        <cfvo type="max"/>
        <color rgb="FFFCFCFF"/>
        <color rgb="FFF8696B"/>
      </colorScale>
    </cfRule>
  </conditionalFormatting>
  <conditionalFormatting sqref="U119:U120">
    <cfRule type="dataBar" priority="55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{A2C917FE-03D7-B141-9D71-C81356305CE5}</x14:id>
        </ext>
      </extLst>
    </cfRule>
  </conditionalFormatting>
  <conditionalFormatting sqref="V119:V120">
    <cfRule type="dataBar" priority="54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{34CFEF08-F6FA-954A-B2C8-171F25553398}</x14:id>
        </ext>
      </extLst>
    </cfRule>
  </conditionalFormatting>
  <conditionalFormatting sqref="V329:V332">
    <cfRule type="cellIs" dxfId="12" priority="10" operator="equal">
      <formula>1</formula>
    </cfRule>
  </conditionalFormatting>
  <conditionalFormatting sqref="W48">
    <cfRule type="dataBar" priority="46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{9EEBED8C-3F08-2941-847D-05D0768143BB}</x14:id>
        </ext>
      </extLst>
    </cfRule>
  </conditionalFormatting>
  <conditionalFormatting sqref="W119:W120">
    <cfRule type="dataBar" priority="53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{DB90F255-288A-1746-9A5C-DC6C35303E88}</x14:id>
        </ext>
      </extLst>
    </cfRule>
  </conditionalFormatting>
  <conditionalFormatting sqref="X48">
    <cfRule type="dataBar" priority="45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{589659A9-3F9F-D346-BA93-11E9D707933D}</x14:id>
        </ext>
      </extLst>
    </cfRule>
  </conditionalFormatting>
  <conditionalFormatting sqref="X119:X120">
    <cfRule type="dataBar" priority="52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{B85A7778-89BE-6C43-BDF3-729ECAEA6002}</x14:id>
        </ext>
      </extLst>
    </cfRule>
  </conditionalFormatting>
  <conditionalFormatting sqref="X274:X279 E276:K279 M280 O280:R280 T280:U280 C280:C281 E280:G284 J280:K284 H280:H285 U281:U288 J285 G286:J286 Y286 AA286:AC286 AI286 AK286:AM286 E286:E288 E295:L295 M295:O296 M297:U297 Q298:U301 M298:O304">
    <cfRule type="cellIs" dxfId="11" priority="60" operator="equal">
      <formula>1</formula>
    </cfRule>
  </conditionalFormatting>
  <conditionalFormatting sqref="X336">
    <cfRule type="cellIs" dxfId="10" priority="9" operator="equal">
      <formula>1</formula>
    </cfRule>
  </conditionalFormatting>
  <conditionalFormatting sqref="Y48">
    <cfRule type="dataBar" priority="44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{8A3A04CC-ABFE-4240-9EA5-3A3C394094B9}</x14:id>
        </ext>
      </extLst>
    </cfRule>
  </conditionalFormatting>
  <conditionalFormatting sqref="Y290:Y294 W296:Y296">
    <cfRule type="cellIs" dxfId="9" priority="58" operator="equal">
      <formula>1</formula>
    </cfRule>
  </conditionalFormatting>
  <conditionalFormatting sqref="Y334">
    <cfRule type="cellIs" dxfId="8" priority="16" operator="equal">
      <formula>1</formula>
    </cfRule>
  </conditionalFormatting>
  <conditionalFormatting sqref="Y280:AB280 AD280:AE280 W280:W281">
    <cfRule type="cellIs" dxfId="7" priority="38" operator="equal">
      <formula>1</formula>
    </cfRule>
  </conditionalFormatting>
  <conditionalFormatting sqref="Y287:AC288">
    <cfRule type="cellIs" dxfId="6" priority="42" operator="equal">
      <formula>1</formula>
    </cfRule>
  </conditionalFormatting>
  <conditionalFormatting sqref="Z107:AB116">
    <cfRule type="dataBar" priority="25">
      <dataBar>
        <cfvo type="num" val="0"/>
        <cfvo type="num" val="1"/>
        <color rgb="FF7030A0"/>
      </dataBar>
      <extLst>
        <ext xmlns:x14="http://schemas.microsoft.com/office/spreadsheetml/2009/9/main" uri="{B025F937-C7B1-47D3-B67F-A62EFF666E3E}">
          <x14:id>{2B9E0867-71D5-8540-B506-A52065C38397}</x14:id>
        </ext>
      </extLst>
    </cfRule>
  </conditionalFormatting>
  <conditionalFormatting sqref="AA281">
    <cfRule type="cellIs" dxfId="5" priority="59" operator="equal">
      <formula>1</formula>
    </cfRule>
  </conditionalFormatting>
  <conditionalFormatting sqref="AC107:AC116">
    <cfRule type="dataBar" priority="29">
      <dataBar>
        <cfvo type="num" val="0"/>
        <cfvo type="num" val="1"/>
        <color rgb="FF7030A0"/>
      </dataBar>
      <extLst>
        <ext xmlns:x14="http://schemas.microsoft.com/office/spreadsheetml/2009/9/main" uri="{B025F937-C7B1-47D3-B67F-A62EFF666E3E}">
          <x14:id>{8AFEADD6-61BF-114A-BDFF-6526574533C3}</x14:id>
        </ext>
      </extLst>
    </cfRule>
  </conditionalFormatting>
  <conditionalFormatting sqref="AE107:AH116">
    <cfRule type="cellIs" dxfId="4" priority="27" operator="equal">
      <formula>0</formula>
    </cfRule>
  </conditionalFormatting>
  <conditionalFormatting sqref="AI290:AI294 AG296:AI296">
    <cfRule type="cellIs" dxfId="3" priority="57" operator="equal">
      <formula>1</formula>
    </cfRule>
  </conditionalFormatting>
  <conditionalFormatting sqref="AI280:AL280 AN280:AO280 AG280:AG281">
    <cfRule type="cellIs" dxfId="2" priority="37" operator="equal">
      <formula>1</formula>
    </cfRule>
  </conditionalFormatting>
  <conditionalFormatting sqref="AI287:AM288">
    <cfRule type="cellIs" dxfId="1" priority="41" operator="equal">
      <formula>1</formula>
    </cfRule>
  </conditionalFormatting>
  <conditionalFormatting sqref="AK281">
    <cfRule type="cellIs" dxfId="0" priority="56" operator="equal">
      <formula>1</formula>
    </cfRule>
  </conditionalFormatting>
  <conditionalFormatting sqref="AN107:AQ116">
    <cfRule type="colorScale" priority="28">
      <colorScale>
        <cfvo type="min"/>
        <cfvo type="max"/>
        <color theme="0"/>
        <color rgb="FF7030A0"/>
      </colorScale>
    </cfRule>
  </conditionalFormatting>
  <conditionalFormatting sqref="BA136:BJ136">
    <cfRule type="dataBar" priority="68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{159A5921-03C3-244A-8B5F-9094ADBEECC4}</x14:id>
        </ext>
      </extLst>
    </cfRule>
  </conditionalFormatting>
  <pageMargins left="0.7" right="0.7" top="0.75" bottom="0.75" header="0.3" footer="0.3"/>
  <pageSetup scale="58" fitToHeight="0" orientation="landscape" horizontalDpi="0" verticalDpi="0"/>
  <rowBreaks count="13" manualBreakCount="13">
    <brk id="19" max="16383" man="1"/>
    <brk id="60" max="16383" man="1"/>
    <brk id="97" max="16383" man="1"/>
    <brk id="120" max="16383" man="1"/>
    <brk id="144" max="16383" man="1"/>
    <brk id="176" max="16383" man="1"/>
    <brk id="200" max="16383" man="1"/>
    <brk id="244" max="16383" man="1"/>
    <brk id="271" max="16383" man="1"/>
    <brk id="310" max="16383" man="1"/>
    <brk id="364" max="16383" man="1"/>
    <brk id="388" max="16383" man="1"/>
    <brk id="462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8A83DC-6CB5-BF40-87E2-CD9BCD59E1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E190:L190 I58:L60 J48:M57 V48:V57 U58:X60 W49:Y57</xm:sqref>
        </x14:conditionalFormatting>
        <x14:conditionalFormatting xmlns:xm="http://schemas.microsoft.com/office/excel/2006/main">
          <x14:cfRule type="dataBar" id="{2574AA88-2FFB-404D-9716-36171CFC9D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E216:X216</xm:sqref>
        </x14:conditionalFormatting>
        <x14:conditionalFormatting xmlns:xm="http://schemas.microsoft.com/office/excel/2006/main">
          <x14:cfRule type="dataBar" id="{2D296215-EBEA-1341-9973-8C68481A60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F131:F135</xm:sqref>
        </x14:conditionalFormatting>
        <x14:conditionalFormatting xmlns:xm="http://schemas.microsoft.com/office/excel/2006/main">
          <x14:cfRule type="dataBar" id="{823B7BBE-2AC8-2346-A74E-B201BF7F11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G153:G172</xm:sqref>
        </x14:conditionalFormatting>
        <x14:conditionalFormatting xmlns:xm="http://schemas.microsoft.com/office/excel/2006/main">
          <x14:cfRule type="dataBar" id="{B4592E8E-021E-9D43-A99B-579610574A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I65:I74</xm:sqref>
        </x14:conditionalFormatting>
        <x14:conditionalFormatting xmlns:xm="http://schemas.microsoft.com/office/excel/2006/main">
          <x14:cfRule type="dataBar" id="{DA110FE4-3E53-EF46-9C0B-CC56F692D60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I107:I116</xm:sqref>
        </x14:conditionalFormatting>
        <x14:conditionalFormatting xmlns:xm="http://schemas.microsoft.com/office/excel/2006/main">
          <x14:cfRule type="dataBar" id="{59F4503D-0308-7349-AF86-5A96744830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I119:I120</xm:sqref>
        </x14:conditionalFormatting>
        <x14:conditionalFormatting xmlns:xm="http://schemas.microsoft.com/office/excel/2006/main">
          <x14:cfRule type="dataBar" id="{ABA0147B-0082-AA4E-8EFD-08504B9C40E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J65:J74</xm:sqref>
        </x14:conditionalFormatting>
        <x14:conditionalFormatting xmlns:xm="http://schemas.microsoft.com/office/excel/2006/main">
          <x14:cfRule type="dataBar" id="{D7FFC1A3-3D21-844C-AFBC-579148C40A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J107:J116</xm:sqref>
        </x14:conditionalFormatting>
        <x14:conditionalFormatting xmlns:xm="http://schemas.microsoft.com/office/excel/2006/main">
          <x14:cfRule type="dataBar" id="{D511317C-0E74-1949-B3D9-DC6EC1CF12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J119:J120</xm:sqref>
        </x14:conditionalFormatting>
        <x14:conditionalFormatting xmlns:xm="http://schemas.microsoft.com/office/excel/2006/main">
          <x14:cfRule type="dataBar" id="{86DD0268-3324-5E49-9009-359134B9CA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K65:K74</xm:sqref>
        </x14:conditionalFormatting>
        <x14:conditionalFormatting xmlns:xm="http://schemas.microsoft.com/office/excel/2006/main">
          <x14:cfRule type="dataBar" id="{4E5A51F1-6C8D-AC42-97AD-AC32436F2E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K107:K116</xm:sqref>
        </x14:conditionalFormatting>
        <x14:conditionalFormatting xmlns:xm="http://schemas.microsoft.com/office/excel/2006/main">
          <x14:cfRule type="dataBar" id="{7D4DC2CD-B1E7-7848-ADD2-7534421723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K119:K120</xm:sqref>
        </x14:conditionalFormatting>
        <x14:conditionalFormatting xmlns:xm="http://schemas.microsoft.com/office/excel/2006/main">
          <x14:cfRule type="dataBar" id="{60114A72-2373-2242-8088-9E1258587E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/>
              <x14:axisColor rgb="FF000000"/>
            </x14:dataBar>
          </x14:cfRule>
          <xm:sqref>K131:K135</xm:sqref>
        </x14:conditionalFormatting>
        <x14:conditionalFormatting xmlns:xm="http://schemas.microsoft.com/office/excel/2006/main">
          <x14:cfRule type="dataBar" id="{77878A7C-9022-A54B-A764-D6EABD9909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L65:L74</xm:sqref>
        </x14:conditionalFormatting>
        <x14:conditionalFormatting xmlns:xm="http://schemas.microsoft.com/office/excel/2006/main">
          <x14:cfRule type="dataBar" id="{82849692-0788-7D48-A58C-971BB1C4B0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L107:L116</xm:sqref>
        </x14:conditionalFormatting>
        <x14:conditionalFormatting xmlns:xm="http://schemas.microsoft.com/office/excel/2006/main">
          <x14:cfRule type="dataBar" id="{456D6598-A54B-8145-9E81-0D2BCE91A6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L119:L120</xm:sqref>
        </x14:conditionalFormatting>
        <x14:conditionalFormatting xmlns:xm="http://schemas.microsoft.com/office/excel/2006/main">
          <x14:cfRule type="dataBar" id="{AFC07A94-23B8-0243-961D-6D8F98C004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/>
              <x14:axisColor rgb="FF000000"/>
            </x14:dataBar>
          </x14:cfRule>
          <xm:sqref>L153:L172</xm:sqref>
        </x14:conditionalFormatting>
        <x14:conditionalFormatting xmlns:xm="http://schemas.microsoft.com/office/excel/2006/main">
          <x14:cfRule type="dataBar" id="{C21BB4BA-DBF3-D848-B9EB-1722259F10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O136:P136 G136:M136</xm:sqref>
        </x14:conditionalFormatting>
        <x14:conditionalFormatting xmlns:xm="http://schemas.microsoft.com/office/excel/2006/main">
          <x14:cfRule type="dataBar" id="{A2C917FE-03D7-B141-9D71-C81356305C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U119:U120</xm:sqref>
        </x14:conditionalFormatting>
        <x14:conditionalFormatting xmlns:xm="http://schemas.microsoft.com/office/excel/2006/main">
          <x14:cfRule type="dataBar" id="{34CFEF08-F6FA-954A-B2C8-171F255533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V119:V120</xm:sqref>
        </x14:conditionalFormatting>
        <x14:conditionalFormatting xmlns:xm="http://schemas.microsoft.com/office/excel/2006/main">
          <x14:cfRule type="dataBar" id="{9EEBED8C-3F08-2941-847D-05D0768143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W48</xm:sqref>
        </x14:conditionalFormatting>
        <x14:conditionalFormatting xmlns:xm="http://schemas.microsoft.com/office/excel/2006/main">
          <x14:cfRule type="dataBar" id="{DB90F255-288A-1746-9A5C-DC6C35303E8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W119:W120</xm:sqref>
        </x14:conditionalFormatting>
        <x14:conditionalFormatting xmlns:xm="http://schemas.microsoft.com/office/excel/2006/main">
          <x14:cfRule type="dataBar" id="{589659A9-3F9F-D346-BA93-11E9D70793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X48</xm:sqref>
        </x14:conditionalFormatting>
        <x14:conditionalFormatting xmlns:xm="http://schemas.microsoft.com/office/excel/2006/main">
          <x14:cfRule type="dataBar" id="{B85A7778-89BE-6C43-BDF3-729ECAEA600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X119:X120</xm:sqref>
        </x14:conditionalFormatting>
        <x14:conditionalFormatting xmlns:xm="http://schemas.microsoft.com/office/excel/2006/main">
          <x14:cfRule type="dataBar" id="{8A3A04CC-ABFE-4240-9EA5-3A3C394094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Y48</xm:sqref>
        </x14:conditionalFormatting>
        <x14:conditionalFormatting xmlns:xm="http://schemas.microsoft.com/office/excel/2006/main">
          <x14:cfRule type="dataBar" id="{2B9E0867-71D5-8540-B506-A52065C383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/>
              <x14:axisColor rgb="FF000000"/>
            </x14:dataBar>
          </x14:cfRule>
          <xm:sqref>Z107:AB116</xm:sqref>
        </x14:conditionalFormatting>
        <x14:conditionalFormatting xmlns:xm="http://schemas.microsoft.com/office/excel/2006/main">
          <x14:cfRule type="dataBar" id="{8AFEADD6-61BF-114A-BDFF-6526574533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theme="0"/>
              <x14:axisColor rgb="FF000000"/>
            </x14:dataBar>
          </x14:cfRule>
          <xm:sqref>AC107:AC116</xm:sqref>
        </x14:conditionalFormatting>
        <x14:conditionalFormatting xmlns:xm="http://schemas.microsoft.com/office/excel/2006/main">
          <x14:cfRule type="dataBar" id="{159A5921-03C3-244A-8B5F-9094ADBEEC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BA136:BJ136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3C66-5C2D-F64D-A5EB-1595992A546D}">
  <dimension ref="A1:A22"/>
  <sheetViews>
    <sheetView tabSelected="1" workbookViewId="0">
      <selection activeCell="A33" sqref="A33"/>
    </sheetView>
  </sheetViews>
  <sheetFormatPr defaultColWidth="11" defaultRowHeight="15.95"/>
  <cols>
    <col min="1" max="1" width="100.625" customWidth="1"/>
  </cols>
  <sheetData>
    <row r="1" spans="1:1" ht="20.100000000000001">
      <c r="A1" s="81" t="s">
        <v>160</v>
      </c>
    </row>
    <row r="2" spans="1:1" ht="17.100000000000001">
      <c r="A2" s="36" t="s">
        <v>161</v>
      </c>
    </row>
    <row r="3" spans="1:1">
      <c r="A3" s="36"/>
    </row>
    <row r="4" spans="1:1" ht="33.950000000000003">
      <c r="A4" s="36" t="s">
        <v>162</v>
      </c>
    </row>
    <row r="5" spans="1:1">
      <c r="A5" s="82"/>
    </row>
    <row r="6" spans="1:1" ht="17.100000000000001">
      <c r="A6" s="83" t="s">
        <v>163</v>
      </c>
    </row>
    <row r="7" spans="1:1" ht="33.950000000000003">
      <c r="A7" s="36" t="s">
        <v>164</v>
      </c>
    </row>
    <row r="8" spans="1:1" ht="33.950000000000003">
      <c r="A8" s="36" t="s">
        <v>165</v>
      </c>
    </row>
    <row r="9" spans="1:1">
      <c r="A9" s="36"/>
    </row>
    <row r="10" spans="1:1" ht="17.100000000000001">
      <c r="A10" s="83" t="s">
        <v>166</v>
      </c>
    </row>
    <row r="11" spans="1:1" ht="33.950000000000003">
      <c r="A11" s="36" t="s">
        <v>167</v>
      </c>
    </row>
    <row r="12" spans="1:1" ht="17.100000000000001">
      <c r="A12" s="36" t="s">
        <v>168</v>
      </c>
    </row>
    <row r="13" spans="1:1" ht="33.950000000000003">
      <c r="A13" s="36" t="s">
        <v>169</v>
      </c>
    </row>
    <row r="14" spans="1:1">
      <c r="A14" s="36"/>
    </row>
    <row r="15" spans="1:1" ht="17.100000000000001">
      <c r="A15" s="83" t="s">
        <v>170</v>
      </c>
    </row>
    <row r="16" spans="1:1" ht="33.950000000000003">
      <c r="A16" s="36" t="s">
        <v>171</v>
      </c>
    </row>
    <row r="17" spans="1:1">
      <c r="A17" s="36"/>
    </row>
    <row r="18" spans="1:1" ht="17.100000000000001">
      <c r="A18" s="83" t="s">
        <v>172</v>
      </c>
    </row>
    <row r="19" spans="1:1" ht="33.950000000000003">
      <c r="A19" s="36" t="s">
        <v>173</v>
      </c>
    </row>
    <row r="20" spans="1:1">
      <c r="A20" s="36"/>
    </row>
    <row r="21" spans="1:1" ht="17.100000000000001">
      <c r="A21" s="83" t="s">
        <v>174</v>
      </c>
    </row>
    <row r="22" spans="1:1" ht="33.950000000000003">
      <c r="A22" s="36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Yeh</dc:creator>
  <cp:keywords/>
  <dc:description/>
  <cp:lastModifiedBy/>
  <cp:revision/>
  <dcterms:created xsi:type="dcterms:W3CDTF">2026-01-19T14:11:06Z</dcterms:created>
  <dcterms:modified xsi:type="dcterms:W3CDTF">2026-03-21T14:06:12Z</dcterms:modified>
  <cp:category/>
  <cp:contentStatus/>
</cp:coreProperties>
</file>