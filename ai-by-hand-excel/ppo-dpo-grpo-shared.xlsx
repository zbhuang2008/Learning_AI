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aibyhand-my.sharepoint.com/personal/tom_aibyhand_onmicrosoft_com/Documents/2026/2026 - Seminars/2026.2.25 - RL/"/>
    </mc:Choice>
  </mc:AlternateContent>
  <xr:revisionPtr revIDLastSave="0" documentId="8_{7781397B-D740-4F49-9330-BF42DD181E6E}" xr6:coauthVersionLast="47" xr6:coauthVersionMax="47" xr10:uidLastSave="{00000000-0000-0000-0000-000000000000}"/>
  <bookViews>
    <workbookView xWindow="0" yWindow="680" windowWidth="34200" windowHeight="21460" xr2:uid="{85B75BF7-9DCE-CD47-AF81-E7148A105438}"/>
  </bookViews>
  <sheets>
    <sheet name="PPO-DPO-GRPO" sheetId="10" r:id="rId1"/>
    <sheet name="LICENSE" sheetId="11" r:id="rId2"/>
  </sheets>
  <definedNames>
    <definedName name="_PAD" localSheetId="1">_xlfn.LAMBDA(_xlpm.image,_xlpm.pad_width,_xlpm.pad_value, _xlfn.LET(_xlpm.o, _xlpm.image, _xlpm.h, ROWS(_xlpm.o), _xlpm.w, COLUMNS(_xlpm.o), _xlpm.pw, _xlpm.pad_width, _xlpm.pv, _xlpm.pad_value,  _xlpm.left, _xlfn.SEQUENCE(_xlpm.h,_xlpm.pw,_xlpm.pv,0), _xlpm.right, _xlpm.left,  _xlpm.top, _xlfn.SEQUENCE(_xlpm.pw,_xlpm.w+_xlpm.pw, _xlpm.pv,0), _xlpm.bottom, _xlpm.top,  _xlpm.a, _xlfn.HSTACK(_xlpm.o, _xlpm.right),  _xlpm.b, _xlfn.VSTACK(_xlpm.a,_xlpm.bottom),  _xlpm.b))</definedName>
    <definedName name="_PAD">_xlfn.LAMBDA(_xlpm.image,_xlpm.pad_width,_xlpm.pad_value, _xlfn.LET(_xlpm.o, _xlpm.image, _xlpm.h, ROWS(_xlpm.o), _xlpm.w, COLUMNS(_xlpm.o), _xlpm.pw, _xlpm.pad_width, _xlpm.pv, _xlpm.pad_value,  _xlpm.left, _xlfn.SEQUENCE(_xlpm.h,_xlpm.pw,_xlpm.pv,0), _xlpm.right, _xlpm.left,  _xlpm.top, _xlfn.SEQUENCE(_xlpm.pw,_xlpm.w+_xlpm.pw, _xlpm.pv,0), _xlpm.bottom, _xlpm.top,  _xlpm.a, _xlfn.HSTACK(_xlpm.o, _xlpm.right),  _xlpm.b, _xlfn.VSTACK(_xlpm.a,_xlpm.bottom),  _xlpm.b))</definedName>
    <definedName name="EMBED">_xlfn.LAMBDA(_xlpm.tokens, _xlfn.TEXTJOIN("",TRUE,_xlfn.RANDARRAY(1,8,0,1,TRUE)))</definedName>
    <definedName name="FXY">_xlfn.LAMBDA(_xlpm.f,_xlpm.d, _xlfn.MAKEARRAY(_xlpm.d*2+1,_xlpm.d*2+1,_xlfn.LAMBDA(_xlpm.y,_xlpm.x,_xlpm.f(_xlpm.x-_xlpm.d-1,_xlpm.y-_xlpm.d-1))))</definedName>
    <definedName name="IM2COL" localSheetId="1">_xlfn.LAMBDA(_xlpm.image,_xlpm.filter_size,_xlpm.stride,_xlpm.pad,_xlpm.pad_value, _xlfn.LET(_xlpm.o, IF(_xlpm.pad&gt;0, LICENSE!_PAD(_xlpm.image, _xlpm.pad, _xlpm.pad_value), _xlpm.image),  _xlpm.d, _xlpm.filter_size,  _xlpm.s, _xlpm.stride, _xlpm.h, ROWS(_xlpm.o),  _xlpm.w, COLUMNS(_xlpm.o), _xlpm.hs, _xlfn.FLOOR.MATH((_xlpm.h-_xlpm.d)/_xlpm.s+1), _xlpm.ws, _xlfn.FLOOR.MATH((_xlpm.w-_xlpm.d)/_xlpm.s+1),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INDEX(_xlpm.o,_xlpm.r,_xlpm.c))))))</definedName>
    <definedName name="IM2COL">_xlfn.LAMBDA(_xlpm.image,_xlpm.filter_size,_xlpm.stride,_xlpm.pad,_xlpm.pad_value, _xlfn.LET(_xlpm.o, IF(_xlpm.pad&gt;0, _PAD(_xlpm.image, _xlpm.pad, _xlpm.pad_value), _xlpm.image),  _xlpm.d, _xlpm.filter_size,  _xlpm.s, _xlpm.stride, _xlpm.h, ROWS(_xlpm.o),  _xlpm.w, COLUMNS(_xlpm.o), _xlpm.hs, _xlfn.FLOOR.MATH((_xlpm.h-_xlpm.d)/_xlpm.s+1), _xlpm.ws, _xlfn.FLOOR.MATH((_xlpm.w-_xlpm.d)/_xlpm.s+1),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INDEX(_xlpm.o,_xlpm.r,_xlpm.c))))))</definedName>
    <definedName name="PREFILL">_xlfn.LAMBDA(_xlpm.tokens,_xlfn.TEXTJOIN(",",TRUE,_xlpm.tokens))</definedName>
    <definedName name="SOFTMAX">_xlfn.LAMBDA(_xlpm.x, _xlfn.LET(_xlpm.s,  SUM(EXP(_xlpm.x)), EXP(_xlpm.x) / _xlpm.s))</definedName>
    <definedName name="SXY">_xlfn.LAMBDA(_xlpm.a,_xlpm.symbols,_xlpm.d, _xlfn.LET( _xlpm.is, _xlfn.SEQUENCE(COLUMNS(_xlpm.a)), _xlpm.N, 2*_xlpm.d+1, _xlfn.REDUCE("",_xlpm.is, _xlfn.LAMBDA(_xlpm.v,_xlpm.i, _xlfn.LET(_xlpm.xi, INDEX(_xlpm.a,1,_xlpm.i),_xlpm.yi,INDEX(_xlpm.a,2,_xlpm.i),_xlpm.s,INDEX(_xlpm.symbols,1,_xlpm.i), _xlpm.m, _xlfn.MAKEARRAY(_xlpm.N,_xlpm.N,_xlfn.LAMBDA(_xlpm.y,_xlpm.x,IF(AND(_xlpm.xi+1=_xlpm.x-_xlpm.d,_xlpm.yi=(_xlpm.N-_xlpm.y-_xlpm.d)),_xlpm.s,""))), _xlpm.v &amp; _xlpm.m)))))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56" i="10" l="1" a="1"/>
  <c r="AR156" i="10" s="1"/>
  <c r="AI156" i="10" a="1"/>
  <c r="I156" i="10" a="1"/>
  <c r="G148" i="10" a="1"/>
  <c r="J147" i="10" a="1"/>
  <c r="J147" i="10" s="1"/>
  <c r="A143" i="10"/>
  <c r="Y120" i="10" a="1"/>
  <c r="Y120" i="10" s="1"/>
  <c r="Y123" i="10" s="1" a="1"/>
  <c r="Y123" i="10" s="1"/>
  <c r="H120" i="10" a="1"/>
  <c r="H120" i="10" s="1"/>
  <c r="H123" i="10" s="1" a="1"/>
  <c r="F113" i="10" a="1"/>
  <c r="F113" i="10" s="1"/>
  <c r="W112" i="10" s="1" a="1"/>
  <c r="W112" i="10" s="1"/>
  <c r="A105" i="10"/>
  <c r="BA58" i="10" a="1"/>
  <c r="AK58" i="10" a="1"/>
  <c r="AK58" i="10" s="1"/>
  <c r="AE58" i="10"/>
  <c r="AE68" i="10" s="1"/>
  <c r="G58" i="10" a="1"/>
  <c r="G58" i="10" s="1"/>
  <c r="BA66" i="10" s="1" a="1"/>
  <c r="G57" i="10" a="1"/>
  <c r="G57" i="10" s="1"/>
  <c r="H53" i="10" s="1" a="1"/>
  <c r="A48" i="10"/>
  <c r="G39" i="10" a="1"/>
  <c r="G39" i="10" s="1"/>
  <c r="G38" i="10" a="1"/>
  <c r="G38" i="10" s="1"/>
  <c r="H34" i="10" s="1" a="1"/>
  <c r="H34" i="10" s="1"/>
  <c r="A31" i="10"/>
  <c r="A15" i="10"/>
  <c r="B5" i="10" a="1"/>
  <c r="D8" i="10" a="1"/>
  <c r="BA58" i="10" l="1"/>
  <c r="BA65" i="10" s="1" a="1"/>
  <c r="BA65" i="10" s="1"/>
  <c r="BA68" i="10" s="1" a="1"/>
  <c r="BA68" i="10" s="1"/>
  <c r="AK68" i="10" a="1"/>
  <c r="AK68" i="10" s="1"/>
  <c r="AK73" i="10" s="1" a="1"/>
  <c r="I156" i="10"/>
  <c r="AR164" i="10" s="1" a="1"/>
  <c r="D8" i="10"/>
  <c r="H53" i="10"/>
  <c r="T53" i="10" s="1" a="1"/>
  <c r="T53" i="10" s="1"/>
  <c r="AY53" i="10" s="1" a="1"/>
  <c r="AY53" i="10" s="1"/>
  <c r="BA66" i="10"/>
  <c r="BA69" i="10" s="1" a="1"/>
  <c r="G149" i="10" a="1"/>
  <c r="H123" i="10"/>
  <c r="H126" i="10" s="1" a="1"/>
  <c r="C9" i="10"/>
  <c r="G148" i="10"/>
  <c r="AI156" i="10"/>
  <c r="AI162" i="10" s="1"/>
  <c r="AA147" i="10" a="1"/>
  <c r="B5" i="10"/>
  <c r="C8" i="10"/>
  <c r="C6" i="10"/>
  <c r="BA57" i="10" a="1"/>
  <c r="BA57" i="10" s="1"/>
  <c r="C7" i="10"/>
  <c r="D6" i="10" a="1"/>
  <c r="D7" i="10" a="1"/>
  <c r="D9" i="10" a="1"/>
  <c r="AL53" i="10" l="1" a="1"/>
  <c r="AL53" i="10" s="1"/>
  <c r="AR164" i="10"/>
  <c r="AR181" i="10" s="1" a="1"/>
  <c r="AI164" i="10"/>
  <c r="AI166" i="10" s="1" a="1"/>
  <c r="D6" i="10"/>
  <c r="D9" i="10"/>
  <c r="D7" i="10"/>
  <c r="BA69" i="10"/>
  <c r="BA71" i="10" s="1" a="1"/>
  <c r="G149" i="10"/>
  <c r="G150" i="10" s="1" a="1"/>
  <c r="AT76" i="10"/>
  <c r="AS76" i="10" s="1"/>
  <c r="AR76" i="10" s="1"/>
  <c r="AQ76" i="10" s="1"/>
  <c r="AP76" i="10" s="1"/>
  <c r="AO76" i="10" s="1"/>
  <c r="AN76" i="10" s="1"/>
  <c r="AM76" i="10" s="1"/>
  <c r="AL76" i="10" s="1"/>
  <c r="AK73" i="10"/>
  <c r="H126" i="10"/>
  <c r="H128" i="10" s="1" a="1"/>
  <c r="AA147" i="10"/>
  <c r="AS147" i="10" s="1" a="1"/>
  <c r="AS147" i="10" s="1"/>
  <c r="C5" i="10"/>
  <c r="D5" i="10" a="1"/>
  <c r="AI166" i="10" l="1"/>
  <c r="AL166" i="10" s="1" a="1"/>
  <c r="AL166" i="10" s="1"/>
  <c r="AR181" i="10"/>
  <c r="AR189" i="10" s="1" a="1"/>
  <c r="AR189" i="10" s="1"/>
  <c r="Z189" i="10" s="1" a="1"/>
  <c r="D5" i="10"/>
  <c r="BA71" i="10"/>
  <c r="BA81" i="10" s="1" a="1"/>
  <c r="AK76" i="10"/>
  <c r="H128" i="10"/>
  <c r="H130" i="10" s="1" a="1"/>
  <c r="G150" i="10"/>
  <c r="G151" i="10" s="1" a="1"/>
  <c r="G151" i="10" s="1"/>
  <c r="Z173" i="10" a="1"/>
  <c r="AK166" i="10" l="1" a="1"/>
  <c r="AK166" i="10" s="1"/>
  <c r="H130" i="10"/>
  <c r="H132" i="10" s="1" a="1"/>
  <c r="Z189" i="10"/>
  <c r="BA81" i="10"/>
  <c r="AK81" i="10" s="1" a="1"/>
  <c r="BA86" i="10" a="1"/>
  <c r="Z173" i="10"/>
  <c r="Z181" i="10" s="1" a="1"/>
  <c r="Z181" i="10" s="1"/>
  <c r="X147" i="10" a="1"/>
  <c r="H132" i="10" l="1"/>
  <c r="H134" i="10" s="1"/>
  <c r="H136" i="10" s="1"/>
  <c r="BA86" i="10"/>
  <c r="AK86" i="10" s="1" a="1"/>
  <c r="AK86" i="10" s="1"/>
  <c r="X147" i="10"/>
  <c r="AP147" i="10" s="1" a="1"/>
  <c r="AP147" i="10" s="1"/>
  <c r="AK81" i="10"/>
  <c r="Z198" i="10" a="1"/>
  <c r="AK92" i="10" l="1" a="1"/>
  <c r="AK92" i="10" s="1"/>
  <c r="AK95" i="10" s="1"/>
  <c r="AK98" i="10" s="1"/>
  <c r="Z198" i="10"/>
  <c r="Z205" i="10" s="1"/>
  <c r="Z209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<sst xmlns="http://schemas.openxmlformats.org/spreadsheetml/2006/main" count="487" uniqueCount="121">
  <si>
    <t>PPO, DPO, GRPO</t>
  </si>
  <si>
    <t>Frontier AI Seminar by Prof. Tom Yeh</t>
  </si>
  <si>
    <t>Table of Content</t>
  </si>
  <si>
    <t># Pretraining</t>
  </si>
  <si>
    <t>Epoch</t>
  </si>
  <si>
    <t>Training Sequence</t>
  </si>
  <si>
    <t>Token ID</t>
  </si>
  <si>
    <t>↓</t>
  </si>
  <si>
    <t>Gradient Update</t>
  </si>
  <si>
    <t>🧠</t>
  </si>
  <si>
    <t>Neural Network</t>
  </si>
  <si>
    <t>→</t>
  </si>
  <si>
    <t>yt</t>
  </si>
  <si>
    <t>p(yt)</t>
  </si>
  <si>
    <t># Inference</t>
  </si>
  <si>
    <t>Prompt</t>
  </si>
  <si>
    <t>Completion</t>
  </si>
  <si>
    <t>Sample</t>
  </si>
  <si>
    <t>p</t>
  </si>
  <si>
    <t># Proximal Policy Optimization (PPO)</t>
  </si>
  <si>
    <t>Policy Model</t>
  </si>
  <si>
    <t>Reward Model</t>
  </si>
  <si>
    <t>Value Model</t>
  </si>
  <si>
    <t>Policy Model (Reference)</t>
  </si>
  <si>
    <t>$</t>
  </si>
  <si>
    <t>Value</t>
  </si>
  <si>
    <r>
      <t>V(s</t>
    </r>
    <r>
      <rPr>
        <vertAlign val="subscript"/>
        <sz val="12"/>
        <color theme="1"/>
        <rFont val="Times New Roman"/>
        <family val="1"/>
      </rPr>
      <t>t</t>
    </r>
    <r>
      <rPr>
        <sz val="12"/>
        <color theme="1"/>
        <rFont val="Times New Roman"/>
        <family val="1"/>
      </rPr>
      <t>)</t>
    </r>
  </si>
  <si>
    <t>q</t>
  </si>
  <si>
    <t>Generalized Advantage Estimation (GAE)</t>
  </si>
  <si>
    <t>reward discount factor:</t>
  </si>
  <si>
    <t>gamma</t>
  </si>
  <si>
    <t>γ</t>
  </si>
  <si>
    <t>trace decay</t>
  </si>
  <si>
    <t>lambda</t>
  </si>
  <si>
    <t>λ</t>
  </si>
  <si>
    <t>old</t>
  </si>
  <si>
    <t>new</t>
  </si>
  <si>
    <r>
      <t>R</t>
    </r>
    <r>
      <rPr>
        <vertAlign val="subscript"/>
        <sz val="12"/>
        <color theme="1"/>
        <rFont val="Times New Roman"/>
        <family val="1"/>
      </rPr>
      <t>t</t>
    </r>
  </si>
  <si>
    <r>
      <t>V(s</t>
    </r>
    <r>
      <rPr>
        <vertAlign val="subscript"/>
        <sz val="12"/>
        <color theme="1"/>
        <rFont val="Times New Roman"/>
        <family val="1"/>
      </rPr>
      <t>t+1</t>
    </r>
    <r>
      <rPr>
        <sz val="12"/>
        <color theme="1"/>
        <rFont val="Times New Roman"/>
        <family val="1"/>
      </rPr>
      <t>)</t>
    </r>
  </si>
  <si>
    <t>log(q)</t>
  </si>
  <si>
    <t>log(p)</t>
  </si>
  <si>
    <t>negative: disappointment</t>
  </si>
  <si>
    <t>Temporal-Difference Error (TD Error)</t>
  </si>
  <si>
    <t>positive: pleasant surprise</t>
  </si>
  <si>
    <t>log(p) - log(q)</t>
  </si>
  <si>
    <t>positive</t>
  </si>
  <si>
    <t>more likely to be chosen by the new policy</t>
  </si>
  <si>
    <r>
      <t>δ</t>
    </r>
    <r>
      <rPr>
        <vertAlign val="subscript"/>
        <sz val="12"/>
        <color theme="1"/>
        <rFont val="Aptos Narrow (Body)"/>
      </rPr>
      <t>t</t>
    </r>
  </si>
  <si>
    <t>no change</t>
  </si>
  <si>
    <t>negative</t>
  </si>
  <si>
    <t>less likely to be chosen by the new policy</t>
  </si>
  <si>
    <t>Advantages</t>
  </si>
  <si>
    <r>
      <t>A</t>
    </r>
    <r>
      <rPr>
        <vertAlign val="subscript"/>
        <sz val="12"/>
        <color theme="1"/>
        <rFont val="Times New Roman"/>
        <family val="1"/>
      </rPr>
      <t>t</t>
    </r>
  </si>
  <si>
    <t>exp()</t>
  </si>
  <si>
    <t>Importance Weighted Advantage</t>
  </si>
  <si>
    <t>Importance Sampling Ratio (PPO Ratio)</t>
  </si>
  <si>
    <r>
      <rPr>
        <sz val="12"/>
        <color theme="1"/>
        <rFont val="New Peninim MT"/>
        <charset val="177"/>
      </rPr>
      <t>r</t>
    </r>
    <r>
      <rPr>
        <vertAlign val="subscript"/>
        <sz val="12"/>
        <color theme="1"/>
        <rFont val="New Peninim MT"/>
        <charset val="177"/>
      </rPr>
      <t xml:space="preserve">t </t>
    </r>
    <r>
      <rPr>
        <sz val="12"/>
        <color theme="1"/>
        <rFont val="New Peninim MT"/>
        <charset val="177"/>
      </rPr>
      <t>A</t>
    </r>
    <r>
      <rPr>
        <vertAlign val="subscript"/>
        <sz val="12"/>
        <color theme="1"/>
        <rFont val="New Peninim MT"/>
        <charset val="177"/>
      </rPr>
      <t>t</t>
    </r>
  </si>
  <si>
    <r>
      <rPr>
        <sz val="12"/>
        <color theme="1"/>
        <rFont val="New Peninim MT"/>
        <charset val="177"/>
      </rPr>
      <t>r</t>
    </r>
    <r>
      <rPr>
        <vertAlign val="subscript"/>
        <sz val="12"/>
        <color theme="1"/>
        <rFont val="New Peninim MT"/>
        <charset val="177"/>
      </rPr>
      <t>t</t>
    </r>
  </si>
  <si>
    <t>more important</t>
  </si>
  <si>
    <t>Clipped Importance Weighted Advantage</t>
  </si>
  <si>
    <t>Clipped Ratio</t>
  </si>
  <si>
    <r>
      <rPr>
        <sz val="12"/>
        <color theme="1"/>
        <rFont val="New Peninim MT"/>
        <charset val="177"/>
      </rPr>
      <t>C</t>
    </r>
    <r>
      <rPr>
        <vertAlign val="subscript"/>
        <sz val="12"/>
        <color theme="1"/>
        <rFont val="New Peninim MT"/>
        <charset val="177"/>
      </rPr>
      <t xml:space="preserve">t </t>
    </r>
    <r>
      <rPr>
        <sz val="12"/>
        <color theme="1"/>
        <rFont val="New Peninim MT"/>
        <charset val="177"/>
      </rPr>
      <t>A</t>
    </r>
    <r>
      <rPr>
        <vertAlign val="subscript"/>
        <sz val="12"/>
        <color theme="1"/>
        <rFont val="New Peninim MT"/>
        <charset val="177"/>
      </rPr>
      <t>t</t>
    </r>
  </si>
  <si>
    <r>
      <t>C</t>
    </r>
    <r>
      <rPr>
        <vertAlign val="subscript"/>
        <sz val="12"/>
        <color theme="1"/>
        <rFont val="Times New Roman"/>
        <family val="1"/>
      </rPr>
      <t>t</t>
    </r>
    <r>
      <rPr>
        <sz val="12"/>
        <color theme="1"/>
        <rFont val="Times New Roman"/>
        <family val="1"/>
      </rPr>
      <t xml:space="preserve"> = clip(r</t>
    </r>
    <r>
      <rPr>
        <vertAlign val="subscript"/>
        <sz val="12"/>
        <color theme="1"/>
        <rFont val="Times New Roman"/>
        <family val="1"/>
      </rPr>
      <t xml:space="preserve">t </t>
    </r>
    <r>
      <rPr>
        <sz val="12"/>
        <color theme="1"/>
        <rFont val="Times New Roman"/>
        <family val="1"/>
      </rPr>
      <t>, 1 - ep , 1 + ep)</t>
    </r>
  </si>
  <si>
    <t>ep</t>
  </si>
  <si>
    <t>Clipped Surrogate Objective</t>
  </si>
  <si>
    <r>
      <rPr>
        <sz val="12"/>
        <color theme="1"/>
        <rFont val="New Peninim MT"/>
        <charset val="177"/>
      </rPr>
      <t>S = min( r</t>
    </r>
    <r>
      <rPr>
        <vertAlign val="subscript"/>
        <sz val="12"/>
        <color theme="1"/>
        <rFont val="New Peninim MT"/>
        <charset val="177"/>
      </rPr>
      <t xml:space="preserve">t </t>
    </r>
    <r>
      <rPr>
        <sz val="12"/>
        <color theme="1"/>
        <rFont val="New Peninim MT"/>
        <charset val="177"/>
      </rPr>
      <t>A</t>
    </r>
    <r>
      <rPr>
        <vertAlign val="subscript"/>
        <sz val="12"/>
        <color theme="1"/>
        <rFont val="New Peninim MT"/>
        <charset val="177"/>
      </rPr>
      <t xml:space="preserve">t </t>
    </r>
    <r>
      <rPr>
        <sz val="12"/>
        <color theme="1"/>
        <rFont val="New Peninim MT"/>
        <charset val="177"/>
      </rPr>
      <t>, C</t>
    </r>
    <r>
      <rPr>
        <vertAlign val="subscript"/>
        <sz val="12"/>
        <color theme="1"/>
        <rFont val="New Peninim MT"/>
        <charset val="177"/>
      </rPr>
      <t xml:space="preserve">t </t>
    </r>
    <r>
      <rPr>
        <sz val="12"/>
        <color theme="1"/>
        <rFont val="New Peninim MT"/>
        <charset val="177"/>
      </rPr>
      <t>A</t>
    </r>
    <r>
      <rPr>
        <vertAlign val="subscript"/>
        <sz val="12"/>
        <color theme="1"/>
        <rFont val="New Peninim MT"/>
        <charset val="177"/>
      </rPr>
      <t xml:space="preserve">t </t>
    </r>
    <r>
      <rPr>
        <sz val="12"/>
        <color theme="1"/>
        <rFont val="New Peninim MT"/>
        <charset val="177"/>
      </rPr>
      <t>)</t>
    </r>
  </si>
  <si>
    <t>mean</t>
  </si>
  <si>
    <t>negate</t>
  </si>
  <si>
    <t>PPO Loss</t>
  </si>
  <si>
    <t># Direct Policy Optimization (DPO)</t>
  </si>
  <si>
    <t>✍️</t>
  </si>
  <si>
    <t>acepted</t>
  </si>
  <si>
    <t>rejected</t>
  </si>
  <si>
    <t>p+</t>
  </si>
  <si>
    <t>p-</t>
  </si>
  <si>
    <t>log(p+)</t>
  </si>
  <si>
    <t>log(p-)</t>
  </si>
  <si>
    <t>log(p+) - log(p-)</t>
  </si>
  <si>
    <t>diff</t>
  </si>
  <si>
    <t>beta</t>
  </si>
  <si>
    <t>* beta</t>
  </si>
  <si>
    <t>sigmoid</t>
  </si>
  <si>
    <t>log</t>
  </si>
  <si>
    <t>DPO Loss</t>
  </si>
  <si>
    <t># Group Relative Policy Optimization (GRPO)</t>
  </si>
  <si>
    <t>🧪</t>
  </si>
  <si>
    <t>Simulator</t>
  </si>
  <si>
    <t>g</t>
  </si>
  <si>
    <t>Sequence Reward</t>
  </si>
  <si>
    <t>Rt</t>
  </si>
  <si>
    <t xml:space="preserve"> </t>
  </si>
  <si>
    <t>mean (μ)</t>
  </si>
  <si>
    <t>std</t>
  </si>
  <si>
    <t xml:space="preserve"> 😁</t>
  </si>
  <si>
    <t>😭</t>
  </si>
  <si>
    <t>group relative advantage</t>
  </si>
  <si>
    <t>&gt; μ</t>
  </si>
  <si>
    <t>&lt; μ</t>
  </si>
  <si>
    <t>Advantage</t>
  </si>
  <si>
    <t>broadcast advantage to every token</t>
  </si>
  <si>
    <r>
      <t xml:space="preserve"> </t>
    </r>
    <r>
      <rPr>
        <sz val="12"/>
        <color theme="1"/>
        <rFont val="New Peninim MT"/>
        <charset val="177"/>
      </rPr>
      <t>A</t>
    </r>
    <r>
      <rPr>
        <vertAlign val="subscript"/>
        <sz val="12"/>
        <color theme="1"/>
        <rFont val="New Peninim MT"/>
        <charset val="177"/>
      </rPr>
      <t>t</t>
    </r>
  </si>
  <si>
    <t>Importance Sampling Ratio</t>
  </si>
  <si>
    <r>
      <rPr>
        <sz val="12"/>
        <color theme="1"/>
        <rFont val="New Peninim MT"/>
        <charset val="177"/>
      </rPr>
      <t>r</t>
    </r>
    <r>
      <rPr>
        <vertAlign val="subscript"/>
        <sz val="12"/>
        <color theme="1"/>
        <rFont val="New Peninim MT"/>
        <charset val="177"/>
      </rPr>
      <t xml:space="preserve">t </t>
    </r>
  </si>
  <si>
    <t>less important</t>
  </si>
  <si>
    <t>GRPO Loss</t>
  </si>
  <si>
    <t>License &amp; Usage Terms</t>
  </si>
  <si>
    <t>© 2026 Tom Yeh. All rights reserved.</t>
  </si>
  <si>
    <t>This spreadsheet is part of the AI by Hand Academy Membership and is licensed, not sold, to authorized subscribers for personal or internal use only.</t>
  </si>
  <si>
    <t>Permitted Use</t>
  </si>
  <si>
    <t>Authorized users may study, reproduce, and adapt the formulas, logic, or structural ideas contained in this spreadsheet for learning, research, experimentation, and internal development.</t>
  </si>
  <si>
    <t>Authorized users may implement those ideas within their own internal systems or codebases (e.g., PyTorch, JAX, TensorFlow, or other frameworks).</t>
  </si>
  <si>
    <t>Prohibited Use</t>
  </si>
  <si>
    <t>You may not copy, share, publish, redistribute, sublicense, sell, or make this spreadsheet (or substantially similar derivatives) available to any third party.</t>
  </si>
  <si>
    <t>You may not publicly post the spreadsheet or its contents, in whole or in part, in any form.</t>
  </si>
  <si>
    <t>You may not use this material or derivative works as part of any commercial product, service, consulting deliverable, paid course, or toolkit without obtaining separate written permission or a commercial-use license from Tom Yeh.</t>
  </si>
  <si>
    <t>Attribution</t>
  </si>
  <si>
    <t>Any public-facing derivative work (including publications, presentations, blog posts, documentation, or open-source releases) based on these materials must include clear attribution to: Prof. Tom Yeh, AI by Hand.</t>
  </si>
  <si>
    <t>Ownership</t>
  </si>
  <si>
    <t>All rights, title, and interest in the original materials remain with Tom Yeh. This license does not grant ownership or transfer of intellectual property.</t>
  </si>
  <si>
    <t>Acceptance</t>
  </si>
  <si>
    <t>Use of this material signifies your acceptance of these License &amp; Usage Terms. Violation of these terms may result in termination of access without refund.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</si>
</sst>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2"/>
      <color theme="1"/>
      <name val="New Peninim MT"/>
      <charset val="177"/>
    </font>
    <font>
      <sz val="12"/>
      <color theme="1"/>
      <name val="New Peninim MT"/>
      <charset val="177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1"/>
      <color rgb="FF000000"/>
      <name val="Aptos Narrow"/>
      <family val="2"/>
      <scheme val="minor"/>
    </font>
    <font>
      <vertAlign val="subscript"/>
      <sz val="12"/>
      <color theme="1"/>
      <name val="Aptos Narrow (Body)"/>
    </font>
    <font>
      <b/>
      <sz val="12"/>
      <color theme="1"/>
      <name val="Aptos Narrow"/>
      <scheme val="minor"/>
    </font>
    <font>
      <sz val="12"/>
      <color theme="1"/>
      <name val="Courier New"/>
      <family val="3"/>
    </font>
    <font>
      <sz val="28"/>
      <color theme="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48"/>
      <color theme="0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8"/>
      <name val="Aptos Narrow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1F1F1F"/>
      <name val="Arial"/>
      <family val="2"/>
    </font>
    <font>
      <i/>
      <sz val="13.5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/>
    <xf numFmtId="2" fontId="0" fillId="0" borderId="1" xfId="0" applyNumberFormat="1" applyBorder="1"/>
    <xf numFmtId="0" fontId="0" fillId="0" borderId="1" xfId="0" applyBorder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4" fontId="0" fillId="3" borderId="1" xfId="0" applyNumberFormat="1" applyFill="1" applyBorder="1" applyAlignment="1">
      <alignment shrinkToFit="1"/>
    </xf>
    <xf numFmtId="0" fontId="0" fillId="0" borderId="0" xfId="0" applyAlignment="1">
      <alignment horizontal="right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1" xfId="0" applyNumberFormat="1" applyBorder="1" applyAlignment="1">
      <alignment horizontal="center" shrinkToFit="1"/>
    </xf>
    <xf numFmtId="1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  <xf numFmtId="2" fontId="0" fillId="0" borderId="2" xfId="0" applyNumberFormat="1" applyBorder="1" applyAlignment="1">
      <alignment shrinkToFit="1"/>
    </xf>
    <xf numFmtId="0" fontId="0" fillId="0" borderId="2" xfId="0" applyBorder="1"/>
    <xf numFmtId="0" fontId="0" fillId="6" borderId="0" xfId="0" applyFill="1" applyAlignment="1">
      <alignment horizontal="center"/>
    </xf>
    <xf numFmtId="0" fontId="0" fillId="2" borderId="3" xfId="0" applyFill="1" applyBorder="1"/>
    <xf numFmtId="0" fontId="0" fillId="7" borderId="0" xfId="0" applyFill="1"/>
    <xf numFmtId="0" fontId="10" fillId="8" borderId="0" xfId="0" applyFont="1" applyFill="1"/>
    <xf numFmtId="0" fontId="13" fillId="9" borderId="0" xfId="0" applyFont="1" applyFill="1"/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8" fillId="0" borderId="0" xfId="0" quotePrefix="1" applyFont="1"/>
    <xf numFmtId="0" fontId="0" fillId="3" borderId="0" xfId="0" applyFill="1"/>
    <xf numFmtId="0" fontId="0" fillId="10" borderId="0" xfId="0" applyFill="1"/>
    <xf numFmtId="0" fontId="11" fillId="11" borderId="0" xfId="0" applyFont="1" applyFill="1"/>
    <xf numFmtId="0" fontId="0" fillId="11" borderId="0" xfId="0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16" fillId="12" borderId="0" xfId="0" applyFont="1" applyFill="1"/>
    <xf numFmtId="0" fontId="17" fillId="12" borderId="0" xfId="0" applyFont="1" applyFill="1"/>
    <xf numFmtId="0" fontId="17" fillId="12" borderId="0" xfId="0" applyFont="1" applyFill="1" applyAlignment="1">
      <alignment horizontal="center" vertical="center" shrinkToFi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12" fillId="0" borderId="0" xfId="1"/>
    <xf numFmtId="0" fontId="21" fillId="0" borderId="0" xfId="0" applyFont="1"/>
    <xf numFmtId="0" fontId="12" fillId="0" borderId="0" xfId="1" applyAlignment="1">
      <alignment horizontal="center"/>
    </xf>
    <xf numFmtId="0" fontId="22" fillId="0" borderId="0" xfId="0" applyFont="1" applyAlignment="1">
      <alignment horizontal="center"/>
    </xf>
    <xf numFmtId="2" fontId="0" fillId="0" borderId="4" xfId="0" applyNumberFormat="1" applyBorder="1" applyAlignment="1">
      <alignment horizontal="center" shrinkToFit="1"/>
    </xf>
    <xf numFmtId="2" fontId="0" fillId="0" borderId="5" xfId="0" applyNumberFormat="1" applyBorder="1" applyAlignment="1">
      <alignment horizontal="center" shrinkToFit="1"/>
    </xf>
    <xf numFmtId="2" fontId="0" fillId="0" borderId="7" xfId="0" applyNumberFormat="1" applyBorder="1" applyAlignment="1">
      <alignment shrinkToFit="1"/>
    </xf>
    <xf numFmtId="2" fontId="0" fillId="0" borderId="8" xfId="0" applyNumberFormat="1" applyBorder="1" applyAlignment="1">
      <alignment shrinkToFit="1"/>
    </xf>
    <xf numFmtId="2" fontId="0" fillId="0" borderId="9" xfId="0" applyNumberFormat="1" applyBorder="1" applyAlignment="1">
      <alignment shrinkToFi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3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220126</xdr:colOff>
      <xdr:row>71</xdr:row>
      <xdr:rowOff>259938</xdr:rowOff>
    </xdr:from>
    <xdr:ext cx="1903726" cy="2576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0F2BACE-E429-9C49-93E9-DA7B8B6B0FB7}"/>
                </a:ext>
              </a:extLst>
            </xdr:cNvPr>
            <xdr:cNvSpPr txBox="1"/>
          </xdr:nvSpPr>
          <xdr:spPr>
            <a:xfrm>
              <a:off x="10900826" y="22891338"/>
              <a:ext cx="1903726" cy="257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𝛿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ar-AE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𝛾</m:t>
                    </m:r>
                    <m:r>
                      <a:rPr lang="ar-AE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e>
                    </m:d>
                    <m:r>
                      <a:rPr lang="ar-AE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ar-AE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𝑉</m:t>
                    </m:r>
                    <m:d>
                      <m:d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</m:d>
                  </m:oMath>
                </m:oMathPara>
              </a14:m>
              <a:endParaRPr lang="ar-AE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0F2BACE-E429-9C49-93E9-DA7B8B6B0FB7}"/>
                </a:ext>
              </a:extLst>
            </xdr:cNvPr>
            <xdr:cNvSpPr txBox="1"/>
          </xdr:nvSpPr>
          <xdr:spPr>
            <a:xfrm>
              <a:off x="10900826" y="22891338"/>
              <a:ext cx="1903726" cy="257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/>
              <a:r>
                <a:rPr lang="ar-AE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𝛿_𝑡=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𝑅</a:t>
              </a:r>
              <a:r>
                <a:rPr lang="ar-AE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ar-AE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𝑡+𝛾𝑉(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𝑡+1)</a:t>
              </a:r>
              <a:r>
                <a:rPr lang="ar-AE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−𝑉(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𝑡)</a:t>
              </a:r>
              <a:endParaRPr lang="ar-AE"/>
            </a:p>
          </xdr:txBody>
        </xdr:sp>
      </mc:Fallback>
    </mc:AlternateContent>
    <xdr:clientData/>
  </xdr:oneCellAnchor>
  <xdr:oneCellAnchor>
    <xdr:from>
      <xdr:col>29</xdr:col>
      <xdr:colOff>350830</xdr:colOff>
      <xdr:row>75</xdr:row>
      <xdr:rowOff>64081</xdr:rowOff>
    </xdr:from>
    <xdr:ext cx="1271951" cy="2576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4177FF3-AAEF-6B45-BEE4-6D78DC3C3B0A}"/>
                </a:ext>
              </a:extLst>
            </xdr:cNvPr>
            <xdr:cNvSpPr txBox="1"/>
          </xdr:nvSpPr>
          <xdr:spPr>
            <a:xfrm>
              <a:off x="11031530" y="23914681"/>
              <a:ext cx="1271951" cy="257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𝛿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1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ar-AE" sz="11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𝛾𝜆</m:t>
                    </m:r>
                    <m:sSub>
                      <m:sSubPr>
                        <m:ctrlP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ar-AE" sz="11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ar-AE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ar-AE" sz="110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ar-AE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4177FF3-AAEF-6B45-BEE4-6D78DC3C3B0A}"/>
                </a:ext>
              </a:extLst>
            </xdr:cNvPr>
            <xdr:cNvSpPr txBox="1"/>
          </xdr:nvSpPr>
          <xdr:spPr>
            <a:xfrm>
              <a:off x="11031530" y="23914681"/>
              <a:ext cx="1271951" cy="257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/>
              <a:r>
                <a:rPr lang="ar-AE" sz="11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𝐴_𝑡=𝛿_𝑡+𝛾𝜆𝐴_(𝑡+1)</a:t>
              </a:r>
              <a:endParaRPr lang="ar-AE"/>
            </a:p>
          </xdr:txBody>
        </xdr:sp>
      </mc:Fallback>
    </mc:AlternateContent>
    <xdr:clientData/>
  </xdr:oneCellAnchor>
  <xdr:oneCellAnchor>
    <xdr:from>
      <xdr:col>47</xdr:col>
      <xdr:colOff>89574</xdr:colOff>
      <xdr:row>60</xdr:row>
      <xdr:rowOff>8363</xdr:rowOff>
    </xdr:from>
    <xdr:ext cx="1776230" cy="1133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78735EF-A5CF-0143-B3A3-0374C39B1F2F}"/>
                </a:ext>
              </a:extLst>
            </xdr:cNvPr>
            <xdr:cNvSpPr txBox="1"/>
          </xdr:nvSpPr>
          <xdr:spPr>
            <a:xfrm>
              <a:off x="17399674" y="19286963"/>
              <a:ext cx="1776230" cy="1133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endParaRPr lang="en-US" sz="1400" b="1"/>
            </a:p>
            <a:p>
              <a:pPr algn="l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b>
                        <m: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ar-AE" sz="14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ar-AE" sz="140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𝜋</m:t>
                            </m:r>
                          </m:e>
                          <m:sub>
                            <m: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𝜃</m:t>
                            </m:r>
                          </m:sub>
                        </m:sSub>
                        <m:d>
                          <m:dPr>
                            <m:ctrlP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ar-AE" sz="140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∣</m:t>
                            </m:r>
                            <m:sSub>
                              <m:sSubPr>
                                <m:ctrlP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num>
                      <m:den>
                        <m:sSub>
                          <m:sSubPr>
                            <m:ctrlP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ar-AE" sz="140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𝜋</m:t>
                            </m:r>
                          </m:e>
                          <m:sub>
                            <m:sSub>
                              <m:sSubPr>
                                <m:ctrlP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40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𝜃</m:t>
                                </m:r>
                              </m:e>
                              <m:sub>
                                <m:r>
                                  <m:rPr>
                                    <m:nor/>
                                  </m:rPr>
                                  <a:rPr lang="en-US" sz="1400" b="0" i="1">
                                    <a:solidFill>
                                      <a:schemeClr val="tx1"/>
                                    </a:solidFill>
                                    <a:latin typeface="+mn-lt"/>
                                    <a:ea typeface="+mn-ea"/>
                                    <a:cs typeface="+mn-cs"/>
                                  </a:rPr>
                                  <m:t>old</m:t>
                                </m:r>
                              </m:sub>
                            </m:sSub>
                          </m:sub>
                        </m:sSub>
                        <m:d>
                          <m:dPr>
                            <m:ctrlPr>
                              <a:rPr lang="ar-AE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ar-AE" sz="1400" b="0" i="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∣</m:t>
                            </m:r>
                            <m:sSub>
                              <m:sSubPr>
                                <m:ctrlP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ar-AE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ar-AE" sz="1400" b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78735EF-A5CF-0143-B3A3-0374C39B1F2F}"/>
                </a:ext>
              </a:extLst>
            </xdr:cNvPr>
            <xdr:cNvSpPr txBox="1"/>
          </xdr:nvSpPr>
          <xdr:spPr>
            <a:xfrm>
              <a:off x="17399674" y="19286963"/>
              <a:ext cx="1776230" cy="1133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endParaRPr lang="en-US" sz="1400" b="1"/>
            </a:p>
            <a:p>
              <a:pPr algn="l"/>
              <a:r>
                <a:rPr lang="ar-AE" sz="14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𝑟_𝑡=(𝜋_𝜃 (𝑎_𝑡∣𝑠_𝑡 ))/(𝜋_(𝜃_</a:t>
              </a:r>
              <a:r>
                <a:rPr lang="en-US" sz="14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"old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 </a:t>
              </a:r>
              <a:r>
                <a:rPr lang="ar-AE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 (𝑎_𝑡∣𝑠_𝑡 ) )</a:t>
              </a:r>
              <a:endParaRPr lang="ar-AE" sz="1400" b="0"/>
            </a:p>
          </xdr:txBody>
        </xdr:sp>
      </mc:Fallback>
    </mc:AlternateContent>
    <xdr:clientData/>
  </xdr:oneCellAnchor>
  <xdr:oneCellAnchor>
    <xdr:from>
      <xdr:col>1</xdr:col>
      <xdr:colOff>160761</xdr:colOff>
      <xdr:row>105</xdr:row>
      <xdr:rowOff>29703</xdr:rowOff>
    </xdr:from>
    <xdr:ext cx="8003037" cy="642664"/>
    <xdr:pic>
      <xdr:nvPicPr>
        <xdr:cNvPr id="5" name="Picture 4">
          <a:extLst>
            <a:ext uri="{FF2B5EF4-FFF2-40B4-BE49-F238E27FC236}">
              <a16:creationId xmlns:a16="http://schemas.microsoft.com/office/drawing/2014/main" id="{4409AADD-BC3E-0E4D-975C-11914C024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061" y="33189403"/>
          <a:ext cx="8003037" cy="642664"/>
        </a:xfrm>
        <a:prstGeom prst="rect">
          <a:avLst/>
        </a:prstGeom>
      </xdr:spPr>
    </xdr:pic>
    <xdr:clientData/>
  </xdr:oneCellAnchor>
  <xdr:twoCellAnchor editAs="oneCell">
    <xdr:from>
      <xdr:col>2</xdr:col>
      <xdr:colOff>304800</xdr:colOff>
      <xdr:row>163</xdr:row>
      <xdr:rowOff>127000</xdr:rowOff>
    </xdr:from>
    <xdr:to>
      <xdr:col>23</xdr:col>
      <xdr:colOff>254917</xdr:colOff>
      <xdr:row>167</xdr:row>
      <xdr:rowOff>63866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BB24FBD-A200-214E-8799-452C29E57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0" y="52425600"/>
          <a:ext cx="7951117" cy="1156066"/>
        </a:xfrm>
        <a:prstGeom prst="rect">
          <a:avLst/>
        </a:prstGeom>
      </xdr:spPr>
    </xdr:pic>
    <xdr:clientData/>
  </xdr:twoCellAnchor>
  <xdr:twoCellAnchor editAs="oneCell">
    <xdr:from>
      <xdr:col>26</xdr:col>
      <xdr:colOff>100264</xdr:colOff>
      <xdr:row>165</xdr:row>
      <xdr:rowOff>233947</xdr:rowOff>
    </xdr:from>
    <xdr:to>
      <xdr:col>33</xdr:col>
      <xdr:colOff>28743</xdr:colOff>
      <xdr:row>168</xdr:row>
      <xdr:rowOff>220578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9BAE2FA-A0C6-D249-A3D7-C8409C87F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6064" y="53675547"/>
          <a:ext cx="2506579" cy="9010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65E7-5474-0344-A155-A12EF0CA0D0D}">
  <sheetPr>
    <pageSetUpPr fitToPage="1"/>
  </sheetPr>
  <dimension ref="A1:CB209"/>
  <sheetViews>
    <sheetView tabSelected="1" zoomScaleNormal="100" zoomScaleSheetLayoutView="50" workbookViewId="0"/>
  </sheetViews>
  <sheetFormatPr defaultColWidth="4.875" defaultRowHeight="24" customHeight="1"/>
  <cols>
    <col min="16" max="16" width="4.875" customWidth="1"/>
    <col min="33" max="33" width="4.875" customWidth="1"/>
  </cols>
  <sheetData>
    <row r="1" spans="1:41" s="50" customFormat="1" ht="63">
      <c r="A1" s="49" t="s">
        <v>0</v>
      </c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</row>
    <row r="2" spans="1:41">
      <c r="A2" s="52" t="s">
        <v>1</v>
      </c>
    </row>
    <row r="3" spans="1:41">
      <c r="A3" s="52"/>
    </row>
    <row r="4" spans="1:41" ht="24" customHeight="1">
      <c r="A4" s="53" t="s">
        <v>2</v>
      </c>
      <c r="B4" s="54"/>
      <c r="C4" s="54"/>
      <c r="D4" s="54"/>
      <c r="U4" s="55"/>
    </row>
    <row r="5" spans="1:41" ht="24" customHeight="1">
      <c r="B5" s="56" t="str" cm="1">
        <f t="array" ref="B5:B9">_xlfn._xlws.FILTER("A" &amp; ROW(A:A), LEFT(A:A,1)="#")</f>
        <v>A14</v>
      </c>
      <c r="C5" s="57" t="str">
        <f t="shared" ref="C5:C9" si="0">HYPERLINK("#"&amp;B5, _xlfn.UNICHAR(128279))</f>
        <v>🔗</v>
      </c>
      <c r="D5" t="str" cm="1">
        <f t="array" aca="1" ref="D5" ca="1">_xlfn.LET(
  _xlpm.n, INDIRECT(B5),
  _xlpm.indent, 9,
  _xlpm.k, LEN(_xlpm.n) - LEN(SUBSTITUTE(_xlpm.n,"#","")),
  IF(_xlpm.k&gt;=2, REPT(" ", _xlpm.indent*(_xlpm.k-1)) &amp; _xlpm.n, _xlpm.n)
)</f>
        <v># Pretraining</v>
      </c>
    </row>
    <row r="6" spans="1:41" ht="24" customHeight="1">
      <c r="B6" s="56" t="str">
        <v>A30</v>
      </c>
      <c r="C6" s="57" t="str">
        <f t="shared" si="0"/>
        <v>🔗</v>
      </c>
      <c r="D6" t="str" cm="1">
        <f t="array" aca="1" ref="D6" ca="1">_xlfn.LET(
  _xlpm.n, INDIRECT(B6),
  _xlpm.indent, 9,
  _xlpm.k, LEN(_xlpm.n) - LEN(SUBSTITUTE(_xlpm.n,"#","")),
  IF(_xlpm.k&gt;=2, REPT(" ", _xlpm.indent*(_xlpm.k-1)) &amp; _xlpm.n, _xlpm.n)
)</f>
        <v># Inference</v>
      </c>
    </row>
    <row r="7" spans="1:41" ht="24" customHeight="1">
      <c r="B7" s="56" t="str">
        <v>A47</v>
      </c>
      <c r="C7" s="57" t="str">
        <f t="shared" si="0"/>
        <v>🔗</v>
      </c>
      <c r="D7" t="str" cm="1">
        <f t="array" aca="1" ref="D7" ca="1">_xlfn.LET(
  _xlpm.n, INDIRECT(B7),
  _xlpm.indent, 9,
  _xlpm.k, LEN(_xlpm.n) - LEN(SUBSTITUTE(_xlpm.n,"#","")),
  IF(_xlpm.k&gt;=2, REPT(" ", _xlpm.indent*(_xlpm.k-1)) &amp; _xlpm.n, _xlpm.n)
)</f>
        <v># Proximal Policy Optimization (PPO)</v>
      </c>
    </row>
    <row r="8" spans="1:41" ht="24" customHeight="1">
      <c r="B8" s="56" t="str">
        <v>A104</v>
      </c>
      <c r="C8" s="57" t="str">
        <f t="shared" si="0"/>
        <v>🔗</v>
      </c>
      <c r="D8" t="str" cm="1">
        <f t="array" aca="1" ref="D8" ca="1">_xlfn.LET(
  _xlpm.n, INDIRECT(B8),
  _xlpm.indent, 9,
  _xlpm.k, LEN(_xlpm.n) - LEN(SUBSTITUTE(_xlpm.n,"#","")),
  IF(_xlpm.k&gt;=2, REPT(" ", _xlpm.indent*(_xlpm.k-1)) &amp; _xlpm.n, _xlpm.n)
)</f>
        <v># Direct Policy Optimization (DPO)</v>
      </c>
    </row>
    <row r="9" spans="1:41" ht="24" customHeight="1">
      <c r="B9" t="str">
        <v>A142</v>
      </c>
      <c r="C9" s="57" t="str">
        <f t="shared" si="0"/>
        <v>🔗</v>
      </c>
      <c r="D9" t="str" cm="1">
        <f t="array" aca="1" ref="D9" ca="1">_xlfn.LET(
  _xlpm.n, INDIRECT(B9),
  _xlpm.indent, 9,
  _xlpm.k, LEN(_xlpm.n) - LEN(SUBSTITUTE(_xlpm.n,"#","")),
  IF(_xlpm.k&gt;=2, REPT(" ", _xlpm.indent*(_xlpm.k-1)) &amp; _xlpm.n, _xlpm.n)
)</f>
        <v># Group Relative Policy Optimization (GRPO)</v>
      </c>
      <c r="U9" s="55"/>
    </row>
    <row r="10" spans="1:41" ht="24" customHeight="1">
      <c r="C10" s="57"/>
    </row>
    <row r="11" spans="1:41" ht="24" customHeight="1">
      <c r="C11" s="57"/>
    </row>
    <row r="14" spans="1:41" s="25" customFormat="1" ht="36.950000000000003">
      <c r="A14" s="25" t="s">
        <v>3</v>
      </c>
    </row>
    <row r="15" spans="1:41" ht="24" customHeight="1">
      <c r="A15" s="55" t="str">
        <f>HYPERLINK("#A1","[top]")</f>
        <v>[top]</v>
      </c>
    </row>
    <row r="16" spans="1:41" ht="24" customHeight="1">
      <c r="B16" t="s">
        <v>4</v>
      </c>
      <c r="E16">
        <v>1</v>
      </c>
      <c r="W16">
        <v>2</v>
      </c>
      <c r="AO16">
        <v>3</v>
      </c>
    </row>
    <row r="18" spans="1:52" ht="24" customHeight="1">
      <c r="E18" t="s">
        <v>5</v>
      </c>
      <c r="W18" t="s">
        <v>5</v>
      </c>
      <c r="AO18" t="s">
        <v>5</v>
      </c>
    </row>
    <row r="19" spans="1:52" ht="24" customHeight="1">
      <c r="B19" t="s">
        <v>6</v>
      </c>
      <c r="E19" s="30">
        <v>4</v>
      </c>
      <c r="F19" s="31">
        <v>2</v>
      </c>
      <c r="G19" s="31">
        <v>1</v>
      </c>
      <c r="H19" s="31">
        <v>4</v>
      </c>
      <c r="I19" s="31">
        <v>2</v>
      </c>
      <c r="J19" s="31">
        <v>4</v>
      </c>
      <c r="K19" s="31">
        <v>2</v>
      </c>
      <c r="L19" s="31">
        <v>1</v>
      </c>
      <c r="M19" s="31">
        <v>5</v>
      </c>
      <c r="N19" s="31">
        <v>4</v>
      </c>
      <c r="O19" s="31">
        <v>1</v>
      </c>
      <c r="P19" s="32">
        <v>2</v>
      </c>
      <c r="W19" s="30">
        <v>4</v>
      </c>
      <c r="X19" s="31">
        <v>2</v>
      </c>
      <c r="Y19" s="31">
        <v>1</v>
      </c>
      <c r="Z19" s="31">
        <v>4</v>
      </c>
      <c r="AA19" s="31">
        <v>2</v>
      </c>
      <c r="AB19" s="31">
        <v>4</v>
      </c>
      <c r="AC19" s="31">
        <v>2</v>
      </c>
      <c r="AD19" s="31">
        <v>1</v>
      </c>
      <c r="AE19" s="31">
        <v>5</v>
      </c>
      <c r="AF19" s="31">
        <v>4</v>
      </c>
      <c r="AG19" s="31">
        <v>1</v>
      </c>
      <c r="AH19" s="32">
        <v>2</v>
      </c>
      <c r="AO19" s="30">
        <v>4</v>
      </c>
      <c r="AP19" s="31">
        <v>2</v>
      </c>
      <c r="AQ19" s="31">
        <v>1</v>
      </c>
      <c r="AR19" s="31">
        <v>4</v>
      </c>
      <c r="AS19" s="31">
        <v>2</v>
      </c>
      <c r="AT19" s="31">
        <v>4</v>
      </c>
      <c r="AU19" s="31">
        <v>2</v>
      </c>
      <c r="AV19" s="31">
        <v>1</v>
      </c>
      <c r="AW19" s="31">
        <v>5</v>
      </c>
      <c r="AX19" s="31">
        <v>4</v>
      </c>
      <c r="AY19" s="31">
        <v>1</v>
      </c>
      <c r="AZ19" s="32">
        <v>2</v>
      </c>
    </row>
    <row r="20" spans="1:52" ht="24" customHeight="1">
      <c r="E20" s="36" t="s">
        <v>7</v>
      </c>
      <c r="F20" s="36" t="s">
        <v>7</v>
      </c>
      <c r="G20" s="36" t="s">
        <v>7</v>
      </c>
      <c r="H20" s="36" t="s">
        <v>7</v>
      </c>
      <c r="I20" s="36" t="s">
        <v>7</v>
      </c>
      <c r="J20" s="36" t="s">
        <v>7</v>
      </c>
      <c r="K20" s="36" t="s">
        <v>7</v>
      </c>
      <c r="L20" s="36" t="s">
        <v>7</v>
      </c>
      <c r="M20" s="36" t="s">
        <v>7</v>
      </c>
      <c r="N20" s="36" t="s">
        <v>7</v>
      </c>
      <c r="O20" s="36" t="s">
        <v>7</v>
      </c>
      <c r="P20" s="36"/>
      <c r="R20" t="s">
        <v>8</v>
      </c>
      <c r="W20" s="36" t="s">
        <v>7</v>
      </c>
      <c r="X20" s="36" t="s">
        <v>7</v>
      </c>
      <c r="Y20" s="36" t="s">
        <v>7</v>
      </c>
      <c r="Z20" s="36" t="s">
        <v>7</v>
      </c>
      <c r="AA20" s="36" t="s">
        <v>7</v>
      </c>
      <c r="AB20" s="36" t="s">
        <v>7</v>
      </c>
      <c r="AC20" s="36" t="s">
        <v>7</v>
      </c>
      <c r="AD20" s="36" t="s">
        <v>7</v>
      </c>
      <c r="AE20" s="36" t="s">
        <v>7</v>
      </c>
      <c r="AF20" s="36" t="s">
        <v>7</v>
      </c>
      <c r="AG20" s="36" t="s">
        <v>7</v>
      </c>
      <c r="AH20" s="36"/>
      <c r="AJ20" t="s">
        <v>8</v>
      </c>
      <c r="AO20" s="36" t="s">
        <v>7</v>
      </c>
      <c r="AP20" s="36" t="s">
        <v>7</v>
      </c>
      <c r="AQ20" s="36" t="s">
        <v>7</v>
      </c>
      <c r="AR20" s="36" t="s">
        <v>7</v>
      </c>
      <c r="AS20" s="36" t="s">
        <v>7</v>
      </c>
      <c r="AT20" s="36" t="s">
        <v>7</v>
      </c>
      <c r="AU20" s="36" t="s">
        <v>7</v>
      </c>
      <c r="AV20" s="36" t="s">
        <v>7</v>
      </c>
      <c r="AW20" s="36" t="s">
        <v>7</v>
      </c>
      <c r="AX20" s="36" t="s">
        <v>7</v>
      </c>
      <c r="AY20" s="36" t="s">
        <v>7</v>
      </c>
      <c r="AZ20" s="36"/>
    </row>
    <row r="21" spans="1:52" ht="24" customHeight="1">
      <c r="D21" s="1" t="s">
        <v>9</v>
      </c>
      <c r="E21" s="24" t="s">
        <v>10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S21" s="58" t="s">
        <v>11</v>
      </c>
      <c r="V21" s="1" t="s">
        <v>9</v>
      </c>
      <c r="W21" s="24" t="s">
        <v>10</v>
      </c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K21" s="58" t="s">
        <v>11</v>
      </c>
      <c r="AN21" s="1" t="s">
        <v>9</v>
      </c>
      <c r="AO21" s="24" t="s">
        <v>10</v>
      </c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</row>
    <row r="22" spans="1:52" ht="24" customHeight="1">
      <c r="E22" s="36" t="s">
        <v>7</v>
      </c>
      <c r="F22" s="36" t="s">
        <v>7</v>
      </c>
      <c r="G22" s="36" t="s">
        <v>7</v>
      </c>
      <c r="H22" s="36" t="s">
        <v>7</v>
      </c>
      <c r="I22" s="36" t="s">
        <v>7</v>
      </c>
      <c r="J22" s="36" t="s">
        <v>7</v>
      </c>
      <c r="K22" s="36" t="s">
        <v>7</v>
      </c>
      <c r="L22" s="36" t="s">
        <v>7</v>
      </c>
      <c r="M22" s="36" t="s">
        <v>7</v>
      </c>
      <c r="N22" s="36" t="s">
        <v>7</v>
      </c>
      <c r="O22" s="36" t="s">
        <v>7</v>
      </c>
      <c r="P22" s="36"/>
      <c r="W22" s="36" t="s">
        <v>7</v>
      </c>
      <c r="X22" s="36" t="s">
        <v>7</v>
      </c>
      <c r="Y22" s="36" t="s">
        <v>7</v>
      </c>
      <c r="Z22" s="36" t="s">
        <v>7</v>
      </c>
      <c r="AA22" s="36" t="s">
        <v>7</v>
      </c>
      <c r="AB22" s="36" t="s">
        <v>7</v>
      </c>
      <c r="AC22" s="36" t="s">
        <v>7</v>
      </c>
      <c r="AD22" s="36" t="s">
        <v>7</v>
      </c>
      <c r="AE22" s="36" t="s">
        <v>7</v>
      </c>
      <c r="AF22" s="36" t="s">
        <v>7</v>
      </c>
      <c r="AG22" s="36" t="s">
        <v>7</v>
      </c>
      <c r="AH22" s="36"/>
      <c r="AO22" s="36" t="s">
        <v>7</v>
      </c>
      <c r="AP22" s="36" t="s">
        <v>7</v>
      </c>
      <c r="AQ22" s="36" t="s">
        <v>7</v>
      </c>
      <c r="AR22" s="36" t="s">
        <v>7</v>
      </c>
      <c r="AS22" s="36" t="s">
        <v>7</v>
      </c>
      <c r="AT22" s="36" t="s">
        <v>7</v>
      </c>
      <c r="AU22" s="36" t="s">
        <v>7</v>
      </c>
      <c r="AV22" s="36" t="s">
        <v>7</v>
      </c>
      <c r="AW22" s="36" t="s">
        <v>7</v>
      </c>
      <c r="AX22" s="36" t="s">
        <v>7</v>
      </c>
      <c r="AY22" s="36" t="s">
        <v>7</v>
      </c>
      <c r="AZ22" s="36"/>
    </row>
    <row r="23" spans="1:52" ht="24" customHeight="1">
      <c r="C23" t="s">
        <v>12</v>
      </c>
      <c r="E23" s="30">
        <v>2</v>
      </c>
      <c r="F23" s="31">
        <v>1</v>
      </c>
      <c r="G23" s="31">
        <v>4</v>
      </c>
      <c r="H23" s="31">
        <v>2</v>
      </c>
      <c r="I23" s="31">
        <v>4</v>
      </c>
      <c r="J23" s="31">
        <v>2</v>
      </c>
      <c r="K23" s="31">
        <v>1</v>
      </c>
      <c r="L23" s="31">
        <v>5</v>
      </c>
      <c r="M23" s="31">
        <v>4</v>
      </c>
      <c r="N23" s="31">
        <v>1</v>
      </c>
      <c r="O23" s="32">
        <v>2</v>
      </c>
      <c r="U23" t="s">
        <v>12</v>
      </c>
      <c r="W23" s="30">
        <v>2</v>
      </c>
      <c r="X23" s="31">
        <v>1</v>
      </c>
      <c r="Y23" s="31">
        <v>4</v>
      </c>
      <c r="Z23" s="31">
        <v>2</v>
      </c>
      <c r="AA23" s="31">
        <v>4</v>
      </c>
      <c r="AB23" s="31">
        <v>2</v>
      </c>
      <c r="AC23" s="31">
        <v>1</v>
      </c>
      <c r="AD23" s="31">
        <v>5</v>
      </c>
      <c r="AE23" s="31">
        <v>4</v>
      </c>
      <c r="AF23" s="31">
        <v>1</v>
      </c>
      <c r="AG23" s="32">
        <v>2</v>
      </c>
      <c r="AM23" t="s">
        <v>12</v>
      </c>
      <c r="AO23" s="30">
        <v>2</v>
      </c>
      <c r="AP23" s="31">
        <v>1</v>
      </c>
      <c r="AQ23" s="31">
        <v>4</v>
      </c>
      <c r="AR23" s="31">
        <v>2</v>
      </c>
      <c r="AS23" s="31">
        <v>4</v>
      </c>
      <c r="AT23" s="31">
        <v>2</v>
      </c>
      <c r="AU23" s="31">
        <v>1</v>
      </c>
      <c r="AV23" s="31">
        <v>5</v>
      </c>
      <c r="AW23" s="31">
        <v>4</v>
      </c>
      <c r="AX23" s="31">
        <v>1</v>
      </c>
      <c r="AY23" s="32">
        <v>2</v>
      </c>
    </row>
    <row r="24" spans="1:52" ht="24" customHeight="1">
      <c r="C24" t="s">
        <v>13</v>
      </c>
      <c r="E24" s="9">
        <v>0.2</v>
      </c>
      <c r="F24" s="9">
        <v>0.4</v>
      </c>
      <c r="G24" s="9">
        <v>0.45769751083684151</v>
      </c>
      <c r="H24" s="9">
        <v>2.6900076593818545E-2</v>
      </c>
      <c r="I24" s="9">
        <v>0.4</v>
      </c>
      <c r="J24" s="9">
        <v>0.21818923143610691</v>
      </c>
      <c r="K24" s="9">
        <v>0.2</v>
      </c>
      <c r="L24" s="9">
        <v>0.3</v>
      </c>
      <c r="M24" s="9">
        <v>0.3</v>
      </c>
      <c r="N24" s="9">
        <v>6.6159215083835932E-2</v>
      </c>
      <c r="O24" s="9">
        <v>0.66750820096142616</v>
      </c>
      <c r="U24" t="s">
        <v>13</v>
      </c>
      <c r="W24" s="9">
        <v>0.9</v>
      </c>
      <c r="X24" s="9">
        <v>0.55727299928633167</v>
      </c>
      <c r="Y24" s="9">
        <v>0.45769751083684151</v>
      </c>
      <c r="Z24" s="9">
        <v>0.2</v>
      </c>
      <c r="AA24" s="9">
        <v>0.52194042949107722</v>
      </c>
      <c r="AB24" s="9">
        <v>0.21818923143610691</v>
      </c>
      <c r="AC24" s="9">
        <v>0.58650309555163949</v>
      </c>
      <c r="AD24" s="9">
        <v>0.49749923308457777</v>
      </c>
      <c r="AE24" s="9">
        <v>0.8500526211863626</v>
      </c>
      <c r="AF24" s="9">
        <v>0.2</v>
      </c>
      <c r="AG24" s="9">
        <v>0.66750820096142616</v>
      </c>
      <c r="AM24" t="s">
        <v>13</v>
      </c>
      <c r="AO24" s="9">
        <v>0.9</v>
      </c>
      <c r="AP24" s="9">
        <v>0.55727299928633167</v>
      </c>
      <c r="AQ24" s="9">
        <v>0.45769751083684151</v>
      </c>
      <c r="AR24" s="9">
        <v>0.5</v>
      </c>
      <c r="AS24" s="9">
        <v>0.52194042949107722</v>
      </c>
      <c r="AT24" s="9">
        <v>0.5</v>
      </c>
      <c r="AU24" s="9">
        <v>0.8</v>
      </c>
      <c r="AV24" s="9">
        <v>0.9</v>
      </c>
      <c r="AW24" s="9">
        <v>0.8500526211863626</v>
      </c>
      <c r="AX24" s="9">
        <v>0.2</v>
      </c>
      <c r="AY24" s="9">
        <v>0.66750820096142616</v>
      </c>
    </row>
    <row r="30" spans="1:52" s="25" customFormat="1" ht="36.950000000000003">
      <c r="A30" s="25" t="s">
        <v>14</v>
      </c>
    </row>
    <row r="31" spans="1:52" ht="24" customHeight="1">
      <c r="A31" s="55" t="str">
        <f>HYPERLINK("#A1","[top]")</f>
        <v>[top]</v>
      </c>
    </row>
    <row r="33" spans="1:16" ht="24" customHeight="1">
      <c r="E33" t="s">
        <v>15</v>
      </c>
      <c r="H33" t="s">
        <v>16</v>
      </c>
    </row>
    <row r="34" spans="1:16" ht="24" customHeight="1">
      <c r="E34" s="30">
        <v>4</v>
      </c>
      <c r="F34" s="31">
        <v>2</v>
      </c>
      <c r="G34" s="31">
        <v>1</v>
      </c>
      <c r="H34" s="28" cm="1">
        <f t="array" aca="1" ref="H34:P34" ca="1">G38:O38</f>
        <v>13</v>
      </c>
      <c r="I34" s="28">
        <f ca="1"/>
        <v>9</v>
      </c>
      <c r="J34" s="28">
        <f ca="1"/>
        <v>3</v>
      </c>
      <c r="K34" s="28">
        <f ca="1"/>
        <v>18</v>
      </c>
      <c r="L34" s="28">
        <f ca="1"/>
        <v>9</v>
      </c>
      <c r="M34" s="28">
        <f ca="1"/>
        <v>10</v>
      </c>
      <c r="N34" s="28">
        <f ca="1"/>
        <v>15</v>
      </c>
      <c r="O34" s="28">
        <f ca="1"/>
        <v>6</v>
      </c>
      <c r="P34" s="29">
        <f ca="1"/>
        <v>2</v>
      </c>
    </row>
    <row r="35" spans="1:16" ht="24" customHeight="1">
      <c r="E35" s="36" t="s">
        <v>7</v>
      </c>
      <c r="F35" s="36" t="s">
        <v>7</v>
      </c>
      <c r="G35" s="36" t="s">
        <v>7</v>
      </c>
      <c r="H35" s="36" t="s">
        <v>7</v>
      </c>
      <c r="I35" s="36" t="s">
        <v>7</v>
      </c>
      <c r="J35" s="36" t="s">
        <v>7</v>
      </c>
      <c r="K35" s="36" t="s">
        <v>7</v>
      </c>
      <c r="L35" s="36" t="s">
        <v>7</v>
      </c>
      <c r="M35" s="36" t="s">
        <v>7</v>
      </c>
      <c r="N35" s="36" t="s">
        <v>7</v>
      </c>
      <c r="O35" s="36" t="s">
        <v>7</v>
      </c>
      <c r="P35" s="36" t="s">
        <v>7</v>
      </c>
    </row>
    <row r="36" spans="1:16" ht="24" customHeight="1">
      <c r="D36" s="1" t="s">
        <v>9</v>
      </c>
      <c r="E36" s="24" t="s">
        <v>10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 ht="24" customHeight="1">
      <c r="E37" t="s">
        <v>17</v>
      </c>
      <c r="G37" s="36" t="s">
        <v>7</v>
      </c>
      <c r="H37" s="36" t="s">
        <v>7</v>
      </c>
      <c r="I37" s="36" t="s">
        <v>7</v>
      </c>
      <c r="J37" s="36" t="s">
        <v>7</v>
      </c>
      <c r="K37" s="36" t="s">
        <v>7</v>
      </c>
      <c r="L37" s="36" t="s">
        <v>7</v>
      </c>
      <c r="M37" s="36" t="s">
        <v>7</v>
      </c>
      <c r="N37" s="36" t="s">
        <v>7</v>
      </c>
      <c r="O37" s="36" t="s">
        <v>7</v>
      </c>
      <c r="P37" s="36" t="s">
        <v>7</v>
      </c>
    </row>
    <row r="38" spans="1:16" ht="24" customHeight="1">
      <c r="G38" s="22" cm="1">
        <f t="array" aca="1" ref="G38:P38" ca="1">_xlfn.RANDARRAY(1,10,1,20,TRUE)</f>
        <v>13</v>
      </c>
      <c r="H38" s="22">
        <f ca="1"/>
        <v>9</v>
      </c>
      <c r="I38" s="22">
        <f ca="1"/>
        <v>3</v>
      </c>
      <c r="J38" s="22">
        <f ca="1"/>
        <v>18</v>
      </c>
      <c r="K38" s="22">
        <f ca="1"/>
        <v>9</v>
      </c>
      <c r="L38" s="22">
        <f ca="1"/>
        <v>10</v>
      </c>
      <c r="M38" s="22">
        <f ca="1"/>
        <v>15</v>
      </c>
      <c r="N38" s="22">
        <f ca="1"/>
        <v>6</v>
      </c>
      <c r="O38" s="22">
        <f ca="1"/>
        <v>2</v>
      </c>
      <c r="P38" s="22">
        <f ca="1"/>
        <v>13</v>
      </c>
    </row>
    <row r="39" spans="1:16" ht="24" customHeight="1">
      <c r="F39" t="s">
        <v>18</v>
      </c>
      <c r="G39" s="9" cm="1">
        <f t="array" aca="1" ref="G39:P39" ca="1">_xlfn.RANDARRAY(1,10)</f>
        <v>0.17316307454990532</v>
      </c>
      <c r="H39" s="9">
        <f ca="1"/>
        <v>0.99167518844508584</v>
      </c>
      <c r="I39" s="9">
        <f ca="1"/>
        <v>2.5186138990472839E-2</v>
      </c>
      <c r="J39" s="9">
        <f ca="1"/>
        <v>0.18151465190480343</v>
      </c>
      <c r="K39" s="9">
        <f ca="1"/>
        <v>0.61945287898738832</v>
      </c>
      <c r="L39" s="9">
        <f ca="1"/>
        <v>0.40757805463318664</v>
      </c>
      <c r="M39" s="9">
        <f ca="1"/>
        <v>0.32268649265336813</v>
      </c>
      <c r="N39" s="9">
        <f ca="1"/>
        <v>0.85285563623744065</v>
      </c>
      <c r="O39" s="9">
        <f ca="1"/>
        <v>0.9548577048771838</v>
      </c>
      <c r="P39" s="9">
        <f ca="1"/>
        <v>0.33771109478346384</v>
      </c>
    </row>
    <row r="47" spans="1:16" s="25" customFormat="1" ht="36.950000000000003">
      <c r="A47" s="25" t="s">
        <v>19</v>
      </c>
    </row>
    <row r="48" spans="1:16" ht="24" customHeight="1">
      <c r="A48" s="55" t="str">
        <f>HYPERLINK("#A1","[top]")</f>
        <v>[top]</v>
      </c>
    </row>
    <row r="50" spans="2:62" ht="24" customHeight="1">
      <c r="E50" t="s">
        <v>20</v>
      </c>
      <c r="T50" t="s">
        <v>21</v>
      </c>
      <c r="AH50" t="s">
        <v>22</v>
      </c>
      <c r="AY50" t="s">
        <v>23</v>
      </c>
    </row>
    <row r="52" spans="2:62" ht="24" customHeight="1">
      <c r="E52" t="s">
        <v>15</v>
      </c>
      <c r="AI52" t="s">
        <v>15</v>
      </c>
    </row>
    <row r="53" spans="2:62" ht="24" customHeight="1">
      <c r="B53" t="s">
        <v>6</v>
      </c>
      <c r="E53" s="30">
        <v>4</v>
      </c>
      <c r="F53" s="31">
        <v>2</v>
      </c>
      <c r="G53" s="31">
        <v>1</v>
      </c>
      <c r="H53" s="28" cm="1">
        <f t="array" aca="1" ref="H53:P53" ca="1">G57:O57</f>
        <v>1</v>
      </c>
      <c r="I53" s="28">
        <f ca="1"/>
        <v>12</v>
      </c>
      <c r="J53" s="28">
        <f ca="1"/>
        <v>16</v>
      </c>
      <c r="K53" s="28">
        <f ca="1"/>
        <v>6</v>
      </c>
      <c r="L53" s="28">
        <f ca="1"/>
        <v>11</v>
      </c>
      <c r="M53" s="28">
        <f ca="1"/>
        <v>16</v>
      </c>
      <c r="N53" s="28">
        <f ca="1"/>
        <v>17</v>
      </c>
      <c r="O53" s="28">
        <f ca="1"/>
        <v>13</v>
      </c>
      <c r="P53" s="29">
        <f ca="1"/>
        <v>8</v>
      </c>
      <c r="T53" s="30" cm="1">
        <f t="array" aca="1" ref="T53:AE53" ca="1">E53:P53</f>
        <v>4</v>
      </c>
      <c r="U53" s="31">
        <f ca="1"/>
        <v>2</v>
      </c>
      <c r="V53" s="31">
        <f ca="1"/>
        <v>1</v>
      </c>
      <c r="W53" s="28">
        <f ca="1"/>
        <v>1</v>
      </c>
      <c r="X53" s="28">
        <f ca="1"/>
        <v>12</v>
      </c>
      <c r="Y53" s="28">
        <f ca="1"/>
        <v>16</v>
      </c>
      <c r="Z53" s="28">
        <f ca="1"/>
        <v>6</v>
      </c>
      <c r="AA53" s="28">
        <f ca="1"/>
        <v>11</v>
      </c>
      <c r="AB53" s="28">
        <f ca="1"/>
        <v>16</v>
      </c>
      <c r="AC53" s="28">
        <f ca="1"/>
        <v>17</v>
      </c>
      <c r="AD53" s="28">
        <f ca="1"/>
        <v>13</v>
      </c>
      <c r="AE53" s="29">
        <f ca="1"/>
        <v>8</v>
      </c>
      <c r="AI53" s="30">
        <v>4</v>
      </c>
      <c r="AJ53" s="31">
        <v>2</v>
      </c>
      <c r="AK53" s="31">
        <v>1</v>
      </c>
      <c r="AL53" s="28" cm="1">
        <f t="array" aca="1" ref="AL53:AT53" ca="1">_xlfn.ANCHORARRAY(H53)</f>
        <v>1</v>
      </c>
      <c r="AM53" s="28">
        <f ca="1"/>
        <v>12</v>
      </c>
      <c r="AN53" s="28">
        <f ca="1"/>
        <v>16</v>
      </c>
      <c r="AO53" s="28">
        <f ca="1"/>
        <v>6</v>
      </c>
      <c r="AP53" s="28">
        <f ca="1"/>
        <v>11</v>
      </c>
      <c r="AQ53" s="28">
        <f ca="1"/>
        <v>16</v>
      </c>
      <c r="AR53" s="28">
        <f ca="1"/>
        <v>17</v>
      </c>
      <c r="AS53" s="28">
        <f ca="1"/>
        <v>13</v>
      </c>
      <c r="AT53" s="29">
        <f ca="1"/>
        <v>8</v>
      </c>
      <c r="AY53" s="30" cm="1">
        <f t="array" aca="1" ref="AY53:BJ53" ca="1">T53:AE53</f>
        <v>4</v>
      </c>
      <c r="AZ53" s="31">
        <f ca="1"/>
        <v>2</v>
      </c>
      <c r="BA53" s="31">
        <f ca="1"/>
        <v>1</v>
      </c>
      <c r="BB53" s="28">
        <f ca="1"/>
        <v>1</v>
      </c>
      <c r="BC53" s="28">
        <f ca="1"/>
        <v>12</v>
      </c>
      <c r="BD53" s="28">
        <f ca="1"/>
        <v>16</v>
      </c>
      <c r="BE53" s="28">
        <f ca="1"/>
        <v>6</v>
      </c>
      <c r="BF53" s="28">
        <f ca="1"/>
        <v>11</v>
      </c>
      <c r="BG53" s="28">
        <f ca="1"/>
        <v>16</v>
      </c>
      <c r="BH53" s="28">
        <f ca="1"/>
        <v>17</v>
      </c>
      <c r="BI53" s="28">
        <f ca="1"/>
        <v>13</v>
      </c>
      <c r="BJ53" s="29">
        <f ca="1"/>
        <v>8</v>
      </c>
    </row>
    <row r="54" spans="2:62" ht="24" customHeight="1">
      <c r="E54" s="36" t="s">
        <v>7</v>
      </c>
      <c r="F54" s="36" t="s">
        <v>7</v>
      </c>
      <c r="G54" s="36" t="s">
        <v>7</v>
      </c>
      <c r="H54" s="36" t="s">
        <v>7</v>
      </c>
      <c r="I54" s="36" t="s">
        <v>7</v>
      </c>
      <c r="J54" s="36" t="s">
        <v>7</v>
      </c>
      <c r="K54" s="36" t="s">
        <v>7</v>
      </c>
      <c r="L54" s="36" t="s">
        <v>7</v>
      </c>
      <c r="M54" s="36" t="s">
        <v>7</v>
      </c>
      <c r="N54" s="36" t="s">
        <v>7</v>
      </c>
      <c r="O54" s="36" t="s">
        <v>7</v>
      </c>
      <c r="P54" s="36" t="s">
        <v>7</v>
      </c>
      <c r="T54" s="36" t="s">
        <v>7</v>
      </c>
      <c r="U54" s="36" t="s">
        <v>7</v>
      </c>
      <c r="V54" s="36" t="s">
        <v>7</v>
      </c>
      <c r="W54" s="36" t="s">
        <v>7</v>
      </c>
      <c r="X54" s="36" t="s">
        <v>7</v>
      </c>
      <c r="Y54" s="36" t="s">
        <v>7</v>
      </c>
      <c r="Z54" s="36" t="s">
        <v>7</v>
      </c>
      <c r="AA54" s="36" t="s">
        <v>7</v>
      </c>
      <c r="AB54" s="36" t="s">
        <v>7</v>
      </c>
      <c r="AC54" s="36" t="s">
        <v>7</v>
      </c>
      <c r="AD54" s="36" t="s">
        <v>7</v>
      </c>
      <c r="AE54" s="36" t="s">
        <v>7</v>
      </c>
      <c r="AI54" s="36" t="s">
        <v>7</v>
      </c>
      <c r="AJ54" s="36" t="s">
        <v>7</v>
      </c>
      <c r="AK54" s="36" t="s">
        <v>7</v>
      </c>
      <c r="AL54" s="36" t="s">
        <v>7</v>
      </c>
      <c r="AM54" s="36" t="s">
        <v>7</v>
      </c>
      <c r="AN54" s="36" t="s">
        <v>7</v>
      </c>
      <c r="AO54" s="36" t="s">
        <v>7</v>
      </c>
      <c r="AP54" s="36" t="s">
        <v>7</v>
      </c>
      <c r="AQ54" s="36" t="s">
        <v>7</v>
      </c>
      <c r="AR54" s="36" t="s">
        <v>7</v>
      </c>
      <c r="AS54" s="36" t="s">
        <v>7</v>
      </c>
      <c r="AT54" s="36" t="s">
        <v>7</v>
      </c>
      <c r="AY54" s="36" t="s">
        <v>7</v>
      </c>
      <c r="AZ54" s="36" t="s">
        <v>7</v>
      </c>
      <c r="BA54" s="36" t="s">
        <v>7</v>
      </c>
      <c r="BB54" s="36" t="s">
        <v>7</v>
      </c>
      <c r="BC54" s="36" t="s">
        <v>7</v>
      </c>
      <c r="BD54" s="36" t="s">
        <v>7</v>
      </c>
      <c r="BE54" s="36" t="s">
        <v>7</v>
      </c>
      <c r="BF54" s="36" t="s">
        <v>7</v>
      </c>
      <c r="BG54" s="36" t="s">
        <v>7</v>
      </c>
      <c r="BH54" s="36" t="s">
        <v>7</v>
      </c>
      <c r="BI54" s="36" t="s">
        <v>7</v>
      </c>
      <c r="BJ54" s="36" t="s">
        <v>7</v>
      </c>
    </row>
    <row r="55" spans="2:62" ht="24" customHeight="1">
      <c r="D55" s="1" t="s">
        <v>9</v>
      </c>
      <c r="E55" s="24" t="s">
        <v>10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S55" s="1" t="s">
        <v>9</v>
      </c>
      <c r="T55" s="41" t="s">
        <v>10</v>
      </c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H55" s="1" t="s">
        <v>9</v>
      </c>
      <c r="AI55" s="42" t="s">
        <v>10</v>
      </c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X55" s="1" t="s">
        <v>9</v>
      </c>
      <c r="AY55" s="24" t="s">
        <v>10</v>
      </c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</row>
    <row r="56" spans="2:62" ht="24" customHeight="1">
      <c r="E56" t="s">
        <v>17</v>
      </c>
      <c r="G56" s="36" t="s">
        <v>7</v>
      </c>
      <c r="H56" s="36" t="s">
        <v>7</v>
      </c>
      <c r="I56" s="36" t="s">
        <v>7</v>
      </c>
      <c r="J56" s="36" t="s">
        <v>7</v>
      </c>
      <c r="K56" s="36" t="s">
        <v>7</v>
      </c>
      <c r="L56" s="36" t="s">
        <v>7</v>
      </c>
      <c r="M56" s="36" t="s">
        <v>7</v>
      </c>
      <c r="N56" s="36" t="s">
        <v>7</v>
      </c>
      <c r="O56" s="36" t="s">
        <v>7</v>
      </c>
      <c r="P56" s="36" t="s">
        <v>7</v>
      </c>
      <c r="AE56" s="36" t="s">
        <v>7</v>
      </c>
      <c r="AK56" s="36" t="s">
        <v>7</v>
      </c>
      <c r="AL56" s="36" t="s">
        <v>7</v>
      </c>
      <c r="AM56" s="36" t="s">
        <v>7</v>
      </c>
      <c r="AN56" s="36" t="s">
        <v>7</v>
      </c>
      <c r="AO56" s="36" t="s">
        <v>7</v>
      </c>
      <c r="AP56" s="36" t="s">
        <v>7</v>
      </c>
      <c r="AQ56" s="36" t="s">
        <v>7</v>
      </c>
      <c r="AR56" s="36" t="s">
        <v>7</v>
      </c>
      <c r="AS56" s="36" t="s">
        <v>7</v>
      </c>
      <c r="AT56" s="36" t="s">
        <v>7</v>
      </c>
      <c r="BA56" s="36" t="s">
        <v>7</v>
      </c>
      <c r="BB56" s="36" t="s">
        <v>7</v>
      </c>
      <c r="BC56" s="36" t="s">
        <v>7</v>
      </c>
      <c r="BD56" s="36" t="s">
        <v>7</v>
      </c>
      <c r="BE56" s="36" t="s">
        <v>7</v>
      </c>
      <c r="BF56" s="36" t="s">
        <v>7</v>
      </c>
      <c r="BG56" s="36" t="s">
        <v>7</v>
      </c>
      <c r="BH56" s="36" t="s">
        <v>7</v>
      </c>
      <c r="BI56" s="36" t="s">
        <v>7</v>
      </c>
      <c r="BJ56" s="36" t="s">
        <v>7</v>
      </c>
    </row>
    <row r="57" spans="2:62" ht="24" customHeight="1">
      <c r="G57" s="22" cm="1">
        <f t="array" aca="1" ref="G57:O57" ca="1">_xlfn.RANDARRAY(1,9,1,20,TRUE)</f>
        <v>1</v>
      </c>
      <c r="H57" s="22">
        <f ca="1"/>
        <v>12</v>
      </c>
      <c r="I57" s="22">
        <f ca="1"/>
        <v>16</v>
      </c>
      <c r="J57" s="22">
        <f ca="1"/>
        <v>6</v>
      </c>
      <c r="K57" s="22">
        <f ca="1"/>
        <v>11</v>
      </c>
      <c r="L57" s="22">
        <f ca="1"/>
        <v>16</v>
      </c>
      <c r="M57" s="22">
        <f ca="1"/>
        <v>17</v>
      </c>
      <c r="N57" s="22">
        <f ca="1"/>
        <v>13</v>
      </c>
      <c r="O57" s="22">
        <f ca="1"/>
        <v>8</v>
      </c>
      <c r="P57" s="22" t="s">
        <v>24</v>
      </c>
      <c r="AE57" s="1">
        <v>10</v>
      </c>
      <c r="AK57" s="1">
        <v>1</v>
      </c>
      <c r="AL57" s="1">
        <v>2</v>
      </c>
      <c r="AM57" s="1">
        <v>3</v>
      </c>
      <c r="AN57" s="1">
        <v>4</v>
      </c>
      <c r="AO57" s="1">
        <v>5</v>
      </c>
      <c r="AP57" s="1">
        <v>6</v>
      </c>
      <c r="AQ57" s="1">
        <v>7</v>
      </c>
      <c r="AR57" s="1">
        <v>8</v>
      </c>
      <c r="AS57" s="1">
        <v>9</v>
      </c>
      <c r="AT57" s="1">
        <v>10</v>
      </c>
      <c r="BA57" s="22" cm="1">
        <f t="array" aca="1" ref="BA57:BJ57" ca="1">G57:P57</f>
        <v>1</v>
      </c>
      <c r="BB57" s="22">
        <f ca="1"/>
        <v>12</v>
      </c>
      <c r="BC57" s="22">
        <f ca="1"/>
        <v>16</v>
      </c>
      <c r="BD57" s="22">
        <f ca="1"/>
        <v>6</v>
      </c>
      <c r="BE57" s="22">
        <f ca="1"/>
        <v>11</v>
      </c>
      <c r="BF57" s="22">
        <f ca="1"/>
        <v>16</v>
      </c>
      <c r="BG57" s="22">
        <f ca="1"/>
        <v>17</v>
      </c>
      <c r="BH57" s="22">
        <f ca="1"/>
        <v>13</v>
      </c>
      <c r="BI57" s="22">
        <f ca="1"/>
        <v>8</v>
      </c>
      <c r="BJ57" s="22" t="str">
        <f ca="1"/>
        <v>$</v>
      </c>
    </row>
    <row r="58" spans="2:62" ht="24" customHeight="1">
      <c r="F58" t="s">
        <v>18</v>
      </c>
      <c r="G58" s="9" cm="1">
        <f t="array" aca="1" ref="G58:P58" ca="1">_xlfn.RANDARRAY(1,10)</f>
        <v>0.43103826766970155</v>
      </c>
      <c r="H58" s="9">
        <f ca="1"/>
        <v>5.1123120478605788E-2</v>
      </c>
      <c r="I58" s="9">
        <f ca="1"/>
        <v>0.30255407695540493</v>
      </c>
      <c r="J58" s="9">
        <f ca="1"/>
        <v>0.10779836427257239</v>
      </c>
      <c r="K58" s="9">
        <f ca="1"/>
        <v>0.33681131946372966</v>
      </c>
      <c r="L58" s="9">
        <f ca="1"/>
        <v>0.68220835418861725</v>
      </c>
      <c r="M58" s="9">
        <f ca="1"/>
        <v>0.8750988181820345</v>
      </c>
      <c r="N58" s="9">
        <f ca="1"/>
        <v>0.51533540388978483</v>
      </c>
      <c r="O58" s="9">
        <f ca="1"/>
        <v>0.16423351470678416</v>
      </c>
      <c r="P58" s="9">
        <f ca="1"/>
        <v>0.65234020121946279</v>
      </c>
      <c r="AE58" s="10">
        <f ca="1">RANDBETWEEN(-10,10)</f>
        <v>-6</v>
      </c>
      <c r="AH58" t="s">
        <v>25</v>
      </c>
      <c r="AI58" s="8" t="s">
        <v>26</v>
      </c>
      <c r="AK58" s="15" cm="1">
        <f t="array" aca="1" ref="AK58:AT58" ca="1">_xlfn.RANDARRAY(1,10,-3,3,TRUE)</f>
        <v>0</v>
      </c>
      <c r="AL58" s="14">
        <f ca="1"/>
        <v>-2</v>
      </c>
      <c r="AM58" s="14">
        <f ca="1"/>
        <v>2</v>
      </c>
      <c r="AN58" s="14">
        <f ca="1"/>
        <v>2</v>
      </c>
      <c r="AO58" s="14">
        <f ca="1"/>
        <v>0</v>
      </c>
      <c r="AP58" s="14">
        <f ca="1"/>
        <v>3</v>
      </c>
      <c r="AQ58" s="14">
        <f ca="1"/>
        <v>3</v>
      </c>
      <c r="AR58" s="14">
        <f ca="1"/>
        <v>0</v>
      </c>
      <c r="AS58" s="14">
        <f ca="1"/>
        <v>-1</v>
      </c>
      <c r="AT58" s="14">
        <f ca="1"/>
        <v>2</v>
      </c>
      <c r="AU58" s="1">
        <v>0</v>
      </c>
      <c r="AZ58" t="s">
        <v>27</v>
      </c>
      <c r="BA58" s="9" cm="1">
        <f t="array" aca="1" ref="BA58:BJ58" ca="1">_xlfn.RANDARRAY(1,10)</f>
        <v>6.5094448707740726E-2</v>
      </c>
      <c r="BB58" s="9">
        <f ca="1"/>
        <v>0.55846509755226048</v>
      </c>
      <c r="BC58" s="9">
        <f ca="1"/>
        <v>0.80977774014212422</v>
      </c>
      <c r="BD58" s="9">
        <f ca="1"/>
        <v>0.45484626035823084</v>
      </c>
      <c r="BE58" s="9">
        <f ca="1"/>
        <v>0.28401908681502097</v>
      </c>
      <c r="BF58" s="9">
        <f ca="1"/>
        <v>0.46925694619289149</v>
      </c>
      <c r="BG58" s="9">
        <f ca="1"/>
        <v>0.27082851104632799</v>
      </c>
      <c r="BH58" s="9">
        <f ca="1"/>
        <v>0.17657467612784217</v>
      </c>
      <c r="BI58" s="9">
        <f ca="1"/>
        <v>0.851947004798977</v>
      </c>
      <c r="BJ58" s="9">
        <f ca="1"/>
        <v>0.43679543523019437</v>
      </c>
    </row>
    <row r="62" spans="2:62" ht="24" customHeight="1">
      <c r="U62" s="6" t="s">
        <v>28</v>
      </c>
    </row>
    <row r="63" spans="2:62" ht="24" customHeight="1">
      <c r="V63" t="s">
        <v>29</v>
      </c>
      <c r="AA63" s="11" t="s">
        <v>30</v>
      </c>
      <c r="AB63" s="1" t="s">
        <v>31</v>
      </c>
      <c r="AC63" s="9">
        <v>1</v>
      </c>
    </row>
    <row r="64" spans="2:62" ht="24" customHeight="1">
      <c r="V64" t="s">
        <v>32</v>
      </c>
      <c r="AA64" s="11" t="s">
        <v>33</v>
      </c>
      <c r="AB64" s="1" t="s">
        <v>34</v>
      </c>
      <c r="AC64" s="9">
        <v>1</v>
      </c>
    </row>
    <row r="65" spans="20:80" ht="24" customHeight="1">
      <c r="AX65" t="s">
        <v>35</v>
      </c>
      <c r="AZ65" t="s">
        <v>27</v>
      </c>
      <c r="BA65" s="9" cm="1">
        <f t="array" aca="1" ref="BA65:BJ65" ca="1">_xlfn.ANCHORARRAY(BA58)</f>
        <v>6.5094448707740726E-2</v>
      </c>
      <c r="BB65" s="9">
        <f ca="1"/>
        <v>0.55846509755226048</v>
      </c>
      <c r="BC65" s="9">
        <f ca="1"/>
        <v>0.80977774014212422</v>
      </c>
      <c r="BD65" s="9">
        <f ca="1"/>
        <v>0.45484626035823084</v>
      </c>
      <c r="BE65" s="9">
        <f ca="1"/>
        <v>0.28401908681502097</v>
      </c>
      <c r="BF65" s="9">
        <f ca="1"/>
        <v>0.46925694619289149</v>
      </c>
      <c r="BG65" s="9">
        <f ca="1"/>
        <v>0.27082851104632799</v>
      </c>
      <c r="BH65" s="9">
        <f ca="1"/>
        <v>0.17657467612784217</v>
      </c>
      <c r="BI65" s="9">
        <f ca="1"/>
        <v>0.851947004798977</v>
      </c>
      <c r="BJ65" s="9">
        <f ca="1"/>
        <v>0.43679543523019437</v>
      </c>
    </row>
    <row r="66" spans="20:80" ht="24" customHeight="1">
      <c r="AX66" t="s">
        <v>36</v>
      </c>
      <c r="AZ66" t="s">
        <v>18</v>
      </c>
      <c r="BA66" s="9" cm="1">
        <f t="array" aca="1" ref="BA66:BJ66" ca="1">_xlfn.ANCHORARRAY(G58)</f>
        <v>0.43103826766970155</v>
      </c>
      <c r="BB66" s="9">
        <f ca="1"/>
        <v>5.1123120478605788E-2</v>
      </c>
      <c r="BC66" s="9">
        <f ca="1"/>
        <v>0.30255407695540493</v>
      </c>
      <c r="BD66" s="9">
        <f ca="1"/>
        <v>0.10779836427257239</v>
      </c>
      <c r="BE66" s="9">
        <f ca="1"/>
        <v>0.33681131946372966</v>
      </c>
      <c r="BF66" s="9">
        <f ca="1"/>
        <v>0.68220835418861725</v>
      </c>
      <c r="BG66" s="9">
        <f ca="1"/>
        <v>0.8750988181820345</v>
      </c>
      <c r="BH66" s="9">
        <f ca="1"/>
        <v>0.51533540388978483</v>
      </c>
      <c r="BI66" s="9">
        <f ca="1"/>
        <v>0.16423351470678416</v>
      </c>
      <c r="BJ66" s="9">
        <f ca="1"/>
        <v>0.65234020121946279</v>
      </c>
    </row>
    <row r="67" spans="20:80" ht="24" customHeight="1">
      <c r="T67" s="12"/>
      <c r="U67" s="8" t="s">
        <v>37</v>
      </c>
      <c r="V67" s="1">
        <v>1</v>
      </c>
      <c r="W67" s="1">
        <v>2</v>
      </c>
      <c r="X67" s="1">
        <v>3</v>
      </c>
      <c r="Y67" s="1">
        <v>4</v>
      </c>
      <c r="Z67" s="1">
        <v>5</v>
      </c>
      <c r="AA67" s="1">
        <v>6</v>
      </c>
      <c r="AB67" s="1">
        <v>7</v>
      </c>
      <c r="AC67" s="1">
        <v>8</v>
      </c>
      <c r="AD67" s="1">
        <v>9</v>
      </c>
      <c r="AE67" s="1">
        <v>10</v>
      </c>
      <c r="AI67" s="13" t="s">
        <v>38</v>
      </c>
      <c r="AK67" s="1">
        <v>2</v>
      </c>
      <c r="AL67" s="1">
        <v>3</v>
      </c>
      <c r="AM67" s="1">
        <v>4</v>
      </c>
      <c r="AN67" s="1">
        <v>5</v>
      </c>
      <c r="AO67" s="1">
        <v>6</v>
      </c>
      <c r="AP67" s="1">
        <v>7</v>
      </c>
      <c r="AQ67" s="1">
        <v>8</v>
      </c>
      <c r="AR67" s="1">
        <v>9</v>
      </c>
      <c r="AS67" s="1">
        <v>10</v>
      </c>
      <c r="BW67" s="6"/>
    </row>
    <row r="68" spans="20:80" ht="24" customHeight="1"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10">
        <f ca="1">AE58</f>
        <v>-6</v>
      </c>
      <c r="AI68" s="1"/>
      <c r="AK68" s="14" cm="1">
        <f t="array" aca="1" ref="AK68:AT68" ca="1">AL58:AU58</f>
        <v>-2</v>
      </c>
      <c r="AL68" s="14">
        <f ca="1"/>
        <v>2</v>
      </c>
      <c r="AM68" s="14">
        <f ca="1"/>
        <v>2</v>
      </c>
      <c r="AN68" s="14">
        <f ca="1"/>
        <v>0</v>
      </c>
      <c r="AO68" s="14">
        <f ca="1"/>
        <v>3</v>
      </c>
      <c r="AP68" s="14">
        <f ca="1"/>
        <v>3</v>
      </c>
      <c r="AQ68" s="14">
        <f ca="1"/>
        <v>0</v>
      </c>
      <c r="AR68" s="14">
        <f ca="1"/>
        <v>-1</v>
      </c>
      <c r="AS68" s="14">
        <f ca="1"/>
        <v>2</v>
      </c>
      <c r="AT68" s="1">
        <f ca="1"/>
        <v>0</v>
      </c>
      <c r="AX68" t="s">
        <v>35</v>
      </c>
      <c r="AZ68" s="11" t="s">
        <v>39</v>
      </c>
      <c r="BA68" s="21" cm="1">
        <f t="array" aca="1" ref="BA68:BJ68" ca="1">LN(_xlfn.ANCHORARRAY(BA65))</f>
        <v>-2.7319160067101826</v>
      </c>
      <c r="BB68" s="21">
        <f ca="1"/>
        <v>-0.58256315561767602</v>
      </c>
      <c r="BC68" s="21">
        <f ca="1"/>
        <v>-0.21099546385508383</v>
      </c>
      <c r="BD68" s="21">
        <f ca="1"/>
        <v>-0.7877958064512155</v>
      </c>
      <c r="BE68" s="21">
        <f ca="1"/>
        <v>-1.2587138359840824</v>
      </c>
      <c r="BF68" s="21">
        <f ca="1"/>
        <v>-0.75660480086984894</v>
      </c>
      <c r="BG68" s="21">
        <f ca="1"/>
        <v>-1.3062694589722759</v>
      </c>
      <c r="BH68" s="21">
        <f ca="1"/>
        <v>-1.7340113978791649</v>
      </c>
      <c r="BI68" s="21">
        <f ca="1"/>
        <v>-0.16023095502754786</v>
      </c>
      <c r="BJ68" s="21">
        <f ca="1"/>
        <v>-0.82829030508637269</v>
      </c>
    </row>
    <row r="69" spans="20:80" ht="24" customHeight="1">
      <c r="AX69" t="s">
        <v>36</v>
      </c>
      <c r="AZ69" s="11" t="s">
        <v>40</v>
      </c>
      <c r="BA69" s="21" cm="1">
        <f t="array" aca="1" ref="BA69:BJ69" ca="1">LN(_xlfn.ANCHORARRAY(BA66))</f>
        <v>-0.84155840472306365</v>
      </c>
      <c r="BB69" s="21">
        <f ca="1"/>
        <v>-2.9735184285496108</v>
      </c>
      <c r="BC69" s="21">
        <f ca="1"/>
        <v>-1.1954952506933934</v>
      </c>
      <c r="BD69" s="21">
        <f ca="1"/>
        <v>-2.2274927943461806</v>
      </c>
      <c r="BE69" s="21">
        <f ca="1"/>
        <v>-1.0882323883196756</v>
      </c>
      <c r="BF69" s="21">
        <f ca="1"/>
        <v>-0.38242016312033406</v>
      </c>
      <c r="BG69" s="21">
        <f ca="1"/>
        <v>-0.13341846393602472</v>
      </c>
      <c r="BH69" s="21">
        <f ca="1"/>
        <v>-0.66293732061356792</v>
      </c>
      <c r="BI69" s="21">
        <f ca="1"/>
        <v>-1.8064659937365135</v>
      </c>
      <c r="BJ69" s="21">
        <f ca="1"/>
        <v>-0.42718907212441604</v>
      </c>
      <c r="CB69" s="19"/>
    </row>
    <row r="70" spans="20:80" ht="24" customHeight="1">
      <c r="AO70" t="s">
        <v>41</v>
      </c>
      <c r="AY70" s="36" t="s">
        <v>7</v>
      </c>
      <c r="CB70" s="19"/>
    </row>
    <row r="71" spans="20:80" ht="24" customHeight="1">
      <c r="AH71" s="6" t="s">
        <v>42</v>
      </c>
      <c r="AO71" t="s">
        <v>43</v>
      </c>
      <c r="AX71" t="s">
        <v>44</v>
      </c>
      <c r="BA71" s="21" cm="1">
        <f t="array" aca="1" ref="BA71:BJ71" ca="1">_xlfn.ANCHORARRAY(BA69)-_xlfn.ANCHORARRAY(BA68)</f>
        <v>1.8903576019871191</v>
      </c>
      <c r="BB71" s="21">
        <f ca="1"/>
        <v>-2.3909552729319348</v>
      </c>
      <c r="BC71" s="21">
        <f ca="1"/>
        <v>-0.98449978683830952</v>
      </c>
      <c r="BD71" s="21">
        <f ca="1"/>
        <v>-1.439696987894965</v>
      </c>
      <c r="BE71" s="21">
        <f ca="1"/>
        <v>0.17048144766440676</v>
      </c>
      <c r="BF71" s="21">
        <f ca="1"/>
        <v>0.37418463774951488</v>
      </c>
      <c r="BG71" s="21">
        <f ca="1"/>
        <v>1.1728509950362511</v>
      </c>
      <c r="BH71" s="21">
        <f ca="1"/>
        <v>1.0710740772655969</v>
      </c>
      <c r="BI71" s="21">
        <f ca="1"/>
        <v>-1.6462350387089657</v>
      </c>
      <c r="BJ71" s="21">
        <f ca="1"/>
        <v>0.40110123296195666</v>
      </c>
      <c r="BL71" s="21">
        <v>1</v>
      </c>
      <c r="BM71" s="64" t="s">
        <v>45</v>
      </c>
      <c r="BO71" t="s">
        <v>46</v>
      </c>
    </row>
    <row r="72" spans="20:80" ht="24" customHeight="1">
      <c r="AJ72" s="1" t="s">
        <v>47</v>
      </c>
      <c r="AK72" s="1">
        <v>1</v>
      </c>
      <c r="AL72" s="1">
        <v>2</v>
      </c>
      <c r="AM72" s="1">
        <v>3</v>
      </c>
      <c r="AN72" s="1">
        <v>4</v>
      </c>
      <c r="AO72" s="1">
        <v>5</v>
      </c>
      <c r="AP72" s="1">
        <v>6</v>
      </c>
      <c r="AQ72" s="1">
        <v>7</v>
      </c>
      <c r="AR72" s="1">
        <v>8</v>
      </c>
      <c r="AS72" s="1">
        <v>9</v>
      </c>
      <c r="AT72" s="1">
        <v>10</v>
      </c>
      <c r="BL72" s="21">
        <v>0</v>
      </c>
      <c r="BM72" s="64" t="s">
        <v>48</v>
      </c>
    </row>
    <row r="73" spans="20:80" ht="24" customHeight="1">
      <c r="AK73" s="9" cm="1">
        <f t="array" aca="1" ref="AK73:AT73" ca="1">V68:AE68+AC63*AK68:AT68-_xlfn.ANCHORARRAY(AK58)</f>
        <v>-2</v>
      </c>
      <c r="AL73" s="9">
        <f ca="1"/>
        <v>4</v>
      </c>
      <c r="AM73" s="9">
        <f ca="1"/>
        <v>0</v>
      </c>
      <c r="AN73" s="9">
        <f ca="1"/>
        <v>-2</v>
      </c>
      <c r="AO73" s="9">
        <f ca="1"/>
        <v>3</v>
      </c>
      <c r="AP73" s="9">
        <f ca="1"/>
        <v>0</v>
      </c>
      <c r="AQ73" s="9">
        <f ca="1"/>
        <v>-3</v>
      </c>
      <c r="AR73" s="9">
        <f ca="1"/>
        <v>-1</v>
      </c>
      <c r="AS73" s="9">
        <f ca="1"/>
        <v>3</v>
      </c>
      <c r="AT73" s="9">
        <f ca="1"/>
        <v>-8</v>
      </c>
      <c r="AY73" s="36" t="s">
        <v>7</v>
      </c>
      <c r="BL73" s="21">
        <v>-1</v>
      </c>
      <c r="BM73" s="64" t="s">
        <v>49</v>
      </c>
      <c r="BO73" t="s">
        <v>50</v>
      </c>
    </row>
    <row r="75" spans="20:80" ht="24" customHeight="1">
      <c r="AG75" s="6" t="s">
        <v>51</v>
      </c>
      <c r="AJ75" s="8" t="s">
        <v>52</v>
      </c>
      <c r="AK75" s="1">
        <v>1</v>
      </c>
      <c r="AL75" s="1">
        <v>2</v>
      </c>
      <c r="AM75" s="1">
        <v>3</v>
      </c>
      <c r="AN75" s="1">
        <v>4</v>
      </c>
      <c r="AO75" s="1">
        <v>5</v>
      </c>
      <c r="AP75" s="1">
        <v>6</v>
      </c>
      <c r="AQ75" s="1">
        <v>7</v>
      </c>
      <c r="AR75" s="1">
        <v>8</v>
      </c>
      <c r="AS75" s="1">
        <v>9</v>
      </c>
      <c r="AT75" s="1">
        <v>10</v>
      </c>
      <c r="AU75" s="1">
        <v>11</v>
      </c>
      <c r="AY75" s="36"/>
    </row>
    <row r="76" spans="20:80" ht="24" customHeight="1">
      <c r="AK76" s="16">
        <f t="shared" ref="AK76:AT76" ca="1" si="1">_xlfn.LET(_xlpm.gam,$AC$63, _xlpm.lam, $AC$64,  _xlpm.delta_t, AK73, _xlpm.A_t_plus_1, AL76, _xlpm.delta_t+_xlpm.gam*_xlpm.lam*_xlpm.A_t_plus_1)</f>
        <v>-6</v>
      </c>
      <c r="AL76" s="16">
        <f t="shared" ca="1" si="1"/>
        <v>-4</v>
      </c>
      <c r="AM76" s="16">
        <f t="shared" ca="1" si="1"/>
        <v>-8</v>
      </c>
      <c r="AN76" s="16">
        <f t="shared" ca="1" si="1"/>
        <v>-8</v>
      </c>
      <c r="AO76" s="16">
        <f t="shared" ca="1" si="1"/>
        <v>-6</v>
      </c>
      <c r="AP76" s="16">
        <f t="shared" ca="1" si="1"/>
        <v>-9</v>
      </c>
      <c r="AQ76" s="16">
        <f t="shared" ca="1" si="1"/>
        <v>-9</v>
      </c>
      <c r="AR76" s="16">
        <f t="shared" ca="1" si="1"/>
        <v>-6</v>
      </c>
      <c r="AS76" s="16">
        <f t="shared" ca="1" si="1"/>
        <v>-5</v>
      </c>
      <c r="AT76" s="16">
        <f t="shared" ca="1" si="1"/>
        <v>-8</v>
      </c>
      <c r="AU76" s="17">
        <v>0</v>
      </c>
      <c r="AY76" t="s">
        <v>53</v>
      </c>
    </row>
    <row r="78" spans="20:80" ht="24" customHeight="1">
      <c r="AX78" s="18"/>
      <c r="AY78" s="36" t="s">
        <v>7</v>
      </c>
    </row>
    <row r="79" spans="20:80" ht="24" customHeight="1">
      <c r="AJ79" s="18" t="s">
        <v>54</v>
      </c>
      <c r="AX79" s="18" t="s">
        <v>55</v>
      </c>
    </row>
    <row r="80" spans="20:80" ht="24" customHeight="1">
      <c r="AJ80" s="2" t="s">
        <v>56</v>
      </c>
      <c r="AX80" s="18"/>
      <c r="AY80" s="65" t="s">
        <v>57</v>
      </c>
    </row>
    <row r="81" spans="34:65" ht="24" customHeight="1">
      <c r="AK81" s="15" cm="1">
        <f t="array" aca="1" ref="AK81:AT81" ca="1">_xlfn.ANCHORARRAY(BA81)*AK76:AT76</f>
        <v>-39.730417222362426</v>
      </c>
      <c r="AL81" s="15">
        <f ca="1"/>
        <v>-0.36616877726237312</v>
      </c>
      <c r="AM81" s="15">
        <f ca="1"/>
        <v>-2.989008583044563</v>
      </c>
      <c r="AN81" s="15">
        <f ca="1"/>
        <v>-1.895996492312314</v>
      </c>
      <c r="AO81" s="15">
        <f ca="1"/>
        <v>-7.115253905800178</v>
      </c>
      <c r="AP81" s="15">
        <f ca="1"/>
        <v>-13.084249977567119</v>
      </c>
      <c r="AQ81" s="15">
        <f ca="1"/>
        <v>-29.080724674113274</v>
      </c>
      <c r="AR81" s="15">
        <f ca="1"/>
        <v>-17.511075150436945</v>
      </c>
      <c r="AS81" s="15">
        <f ca="1"/>
        <v>-0.96387165974916611</v>
      </c>
      <c r="AT81" s="15">
        <f ca="1"/>
        <v>-11.947747592658331</v>
      </c>
      <c r="BA81" s="20" cm="1">
        <f t="array" aca="1" ref="BA81:BJ81" ca="1">EXP(_xlfn.ANCHORARRAY(BA71))</f>
        <v>6.6217362037270711</v>
      </c>
      <c r="BB81" s="20">
        <f ca="1"/>
        <v>9.1542194315593281E-2</v>
      </c>
      <c r="BC81" s="20">
        <f ca="1"/>
        <v>0.37362607288057037</v>
      </c>
      <c r="BD81" s="20">
        <f ca="1"/>
        <v>0.23699956153903926</v>
      </c>
      <c r="BE81" s="20">
        <f ca="1"/>
        <v>1.1858756509666963</v>
      </c>
      <c r="BF81" s="21">
        <f ca="1"/>
        <v>1.4538055530630132</v>
      </c>
      <c r="BG81" s="21">
        <f ca="1"/>
        <v>3.2311916304570305</v>
      </c>
      <c r="BH81" s="21">
        <f ca="1"/>
        <v>2.9185125250728241</v>
      </c>
      <c r="BI81" s="21">
        <f ca="1"/>
        <v>0.19277433194983323</v>
      </c>
      <c r="BJ81" s="21">
        <f ca="1"/>
        <v>1.4934684490822914</v>
      </c>
      <c r="BL81" s="21">
        <v>1</v>
      </c>
      <c r="BM81" s="64" t="s">
        <v>58</v>
      </c>
    </row>
    <row r="82" spans="34:65" ht="24" customHeight="1">
      <c r="BL82" s="21">
        <v>0</v>
      </c>
      <c r="BM82" s="64"/>
    </row>
    <row r="84" spans="34:65" ht="24" customHeight="1">
      <c r="AJ84" s="18" t="s">
        <v>59</v>
      </c>
      <c r="AW84" s="1"/>
      <c r="AX84" s="18" t="s">
        <v>60</v>
      </c>
      <c r="AY84" s="1"/>
      <c r="AZ84" s="1"/>
      <c r="BA84" s="1"/>
      <c r="BB84" s="1"/>
      <c r="BC84" s="1"/>
      <c r="BD84" s="1"/>
      <c r="BE84" s="1"/>
    </row>
    <row r="85" spans="34:65" ht="24" customHeight="1">
      <c r="AK85" s="2" t="s">
        <v>61</v>
      </c>
      <c r="BA85" s="3" t="s">
        <v>62</v>
      </c>
    </row>
    <row r="86" spans="34:65" ht="24" customHeight="1">
      <c r="AK86" s="15" cm="1">
        <f t="array" aca="1" ref="AK86:AT86" ca="1">_xlfn.ANCHORARRAY(BA86)*AK76:AT76</f>
        <v>-6.6000000000000005</v>
      </c>
      <c r="AL86" s="15">
        <f ca="1"/>
        <v>-3.6</v>
      </c>
      <c r="AM86" s="15">
        <f ca="1"/>
        <v>-7.2</v>
      </c>
      <c r="AN86" s="15">
        <f ca="1"/>
        <v>-7.2</v>
      </c>
      <c r="AO86" s="15">
        <f ca="1"/>
        <v>-6.6000000000000005</v>
      </c>
      <c r="AP86" s="15">
        <f ca="1"/>
        <v>-9.9</v>
      </c>
      <c r="AQ86" s="15">
        <f ca="1"/>
        <v>-9.9</v>
      </c>
      <c r="AR86" s="15">
        <f ca="1"/>
        <v>-6.6000000000000005</v>
      </c>
      <c r="AS86" s="15">
        <f ca="1"/>
        <v>-4.5</v>
      </c>
      <c r="AT86" s="15">
        <f ca="1"/>
        <v>-8.8000000000000007</v>
      </c>
      <c r="AX86" t="s">
        <v>63</v>
      </c>
      <c r="AY86" s="4">
        <v>0.1</v>
      </c>
      <c r="BA86" s="20" cm="1">
        <f t="array" aca="1" ref="BA86:BJ86" ca="1">_xlfn.MAP(_xlfn.ANCHORARRAY( BA81), _xlfn.LAMBDA(_xlpm.x, MAX(MIN(_xlpm.x,1+AY86),1-AY86)))</f>
        <v>1.1000000000000001</v>
      </c>
      <c r="BB86" s="20">
        <f ca="1"/>
        <v>0.9</v>
      </c>
      <c r="BC86" s="20">
        <f ca="1"/>
        <v>0.9</v>
      </c>
      <c r="BD86" s="20">
        <f ca="1"/>
        <v>0.9</v>
      </c>
      <c r="BE86" s="20">
        <f ca="1"/>
        <v>1.1000000000000001</v>
      </c>
      <c r="BF86" s="21">
        <f ca="1"/>
        <v>1.1000000000000001</v>
      </c>
      <c r="BG86" s="21">
        <f ca="1"/>
        <v>1.1000000000000001</v>
      </c>
      <c r="BH86" s="21">
        <f ca="1"/>
        <v>1.1000000000000001</v>
      </c>
      <c r="BI86" s="21">
        <f ca="1"/>
        <v>0.9</v>
      </c>
      <c r="BJ86" s="21">
        <f ca="1"/>
        <v>1.1000000000000001</v>
      </c>
      <c r="BL86" s="21">
        <v>1</v>
      </c>
      <c r="BM86" s="64" t="s">
        <v>58</v>
      </c>
    </row>
    <row r="87" spans="34:65" ht="24" customHeight="1">
      <c r="BL87" s="21">
        <v>0</v>
      </c>
      <c r="BM87" s="64"/>
    </row>
    <row r="88" spans="34:65" ht="24" customHeight="1">
      <c r="AH88" s="1"/>
    </row>
    <row r="89" spans="34:65" ht="24" customHeight="1">
      <c r="AJ89" s="18" t="s">
        <v>64</v>
      </c>
    </row>
    <row r="91" spans="34:65" ht="24" customHeight="1">
      <c r="AK91" s="2" t="s">
        <v>65</v>
      </c>
    </row>
    <row r="92" spans="34:65" ht="24" customHeight="1">
      <c r="AK92" s="15" cm="1">
        <f t="array" aca="1" ref="AK92:AT92" ca="1">_xlfn.MAP(_xlfn.ANCHORARRAY(AK81),_xlfn.ANCHORARRAY( AK86), _xlfn.LAMBDA(_xlpm.a,_xlpm.b,MIN(_xlpm.a,_xlpm.b)))</f>
        <v>-39.730417222362426</v>
      </c>
      <c r="AL92" s="15">
        <f ca="1"/>
        <v>-3.6</v>
      </c>
      <c r="AM92" s="15">
        <f ca="1"/>
        <v>-7.2</v>
      </c>
      <c r="AN92" s="15">
        <f ca="1"/>
        <v>-7.2</v>
      </c>
      <c r="AO92" s="15">
        <f ca="1"/>
        <v>-7.115253905800178</v>
      </c>
      <c r="AP92" s="15">
        <f ca="1"/>
        <v>-13.084249977567119</v>
      </c>
      <c r="AQ92" s="15">
        <f ca="1"/>
        <v>-29.080724674113274</v>
      </c>
      <c r="AR92" s="15">
        <f ca="1"/>
        <v>-17.511075150436945</v>
      </c>
      <c r="AS92" s="15">
        <f ca="1"/>
        <v>-4.5</v>
      </c>
      <c r="AT92" s="15">
        <f ca="1"/>
        <v>-11.947747592658331</v>
      </c>
    </row>
    <row r="94" spans="34:65" ht="24" customHeight="1">
      <c r="AJ94" t="s">
        <v>66</v>
      </c>
      <c r="AK94" s="36" t="s">
        <v>7</v>
      </c>
    </row>
    <row r="95" spans="34:65" ht="24" customHeight="1">
      <c r="AK95" s="5">
        <f ca="1">AVERAGE(_xlfn.ANCHORARRAY(AK92))</f>
        <v>-14.096946852293826</v>
      </c>
    </row>
    <row r="96" spans="34:65" ht="24" customHeight="1">
      <c r="AJ96" s="11" t="s">
        <v>67</v>
      </c>
      <c r="AK96" s="36" t="s">
        <v>7</v>
      </c>
    </row>
    <row r="98" spans="1:37" ht="24" customHeight="1">
      <c r="AI98" s="6" t="s">
        <v>68</v>
      </c>
      <c r="AK98" s="7">
        <f ca="1">-AK95</f>
        <v>14.096946852293826</v>
      </c>
    </row>
    <row r="104" spans="1:37" s="25" customFormat="1" ht="36.950000000000003">
      <c r="A104" s="25" t="s">
        <v>69</v>
      </c>
    </row>
    <row r="105" spans="1:37" ht="24" customHeight="1">
      <c r="A105" s="55" t="str">
        <f>HYPERLINK("#A1","[top]")</f>
        <v>[top]</v>
      </c>
    </row>
    <row r="109" spans="1:37" ht="24" customHeight="1">
      <c r="F109" t="s">
        <v>20</v>
      </c>
      <c r="W109" t="s">
        <v>23</v>
      </c>
    </row>
    <row r="111" spans="1:37" ht="24" customHeight="1">
      <c r="F111" t="s">
        <v>15</v>
      </c>
      <c r="I111" t="s">
        <v>16</v>
      </c>
      <c r="W111" t="s">
        <v>15</v>
      </c>
      <c r="Z111" t="s">
        <v>16</v>
      </c>
    </row>
    <row r="112" spans="1:37" ht="24" customHeight="1">
      <c r="C112" t="s">
        <v>70</v>
      </c>
      <c r="D112" t="s">
        <v>71</v>
      </c>
      <c r="F112" s="30">
        <v>4</v>
      </c>
      <c r="G112" s="31">
        <v>2</v>
      </c>
      <c r="H112" s="31">
        <v>1</v>
      </c>
      <c r="I112" s="30">
        <v>3</v>
      </c>
      <c r="J112" s="31">
        <v>11</v>
      </c>
      <c r="K112" s="31">
        <v>12</v>
      </c>
      <c r="L112" s="31">
        <v>1</v>
      </c>
      <c r="M112" s="31">
        <v>6</v>
      </c>
      <c r="N112" s="31">
        <v>3</v>
      </c>
      <c r="O112" s="31">
        <v>4</v>
      </c>
      <c r="P112" s="31">
        <v>5</v>
      </c>
      <c r="Q112" s="32">
        <v>1</v>
      </c>
      <c r="W112" s="30" cm="1">
        <f t="array" ref="W112:AH113">F112:Q113</f>
        <v>4</v>
      </c>
      <c r="X112" s="31">
        <v>2</v>
      </c>
      <c r="Y112" s="31">
        <v>1</v>
      </c>
      <c r="Z112" s="30">
        <v>3</v>
      </c>
      <c r="AA112" s="31">
        <v>11</v>
      </c>
      <c r="AB112" s="31">
        <v>12</v>
      </c>
      <c r="AC112" s="31">
        <v>1</v>
      </c>
      <c r="AD112" s="31">
        <v>6</v>
      </c>
      <c r="AE112" s="31">
        <v>3</v>
      </c>
      <c r="AF112" s="31">
        <v>4</v>
      </c>
      <c r="AG112" s="31">
        <v>5</v>
      </c>
      <c r="AH112" s="32">
        <v>1</v>
      </c>
    </row>
    <row r="113" spans="3:34" ht="24" customHeight="1">
      <c r="C113" t="s">
        <v>70</v>
      </c>
      <c r="D113" t="s">
        <v>72</v>
      </c>
      <c r="E113" s="1"/>
      <c r="F113" s="30" cm="1">
        <f t="array" ref="F113:H113">F112:H112</f>
        <v>4</v>
      </c>
      <c r="G113" s="31">
        <v>2</v>
      </c>
      <c r="H113" s="31">
        <v>1</v>
      </c>
      <c r="I113" s="30">
        <v>4</v>
      </c>
      <c r="J113" s="31">
        <v>11</v>
      </c>
      <c r="K113" s="31">
        <v>12</v>
      </c>
      <c r="L113" s="31">
        <v>1</v>
      </c>
      <c r="M113" s="31">
        <v>6</v>
      </c>
      <c r="N113" s="31">
        <v>3</v>
      </c>
      <c r="O113" s="31">
        <v>4</v>
      </c>
      <c r="P113" s="31">
        <v>5</v>
      </c>
      <c r="Q113" s="32">
        <v>1</v>
      </c>
      <c r="W113" s="30">
        <v>4</v>
      </c>
      <c r="X113" s="31">
        <v>2</v>
      </c>
      <c r="Y113" s="31">
        <v>1</v>
      </c>
      <c r="Z113" s="30">
        <v>4</v>
      </c>
      <c r="AA113" s="31">
        <v>11</v>
      </c>
      <c r="AB113" s="31">
        <v>12</v>
      </c>
      <c r="AC113" s="31">
        <v>1</v>
      </c>
      <c r="AD113" s="31">
        <v>6</v>
      </c>
      <c r="AE113" s="31">
        <v>3</v>
      </c>
      <c r="AF113" s="31">
        <v>4</v>
      </c>
      <c r="AG113" s="31">
        <v>5</v>
      </c>
      <c r="AH113" s="32">
        <v>1</v>
      </c>
    </row>
    <row r="114" spans="3:34" ht="24" customHeight="1">
      <c r="F114" s="36" t="s">
        <v>7</v>
      </c>
      <c r="G114" s="36" t="s">
        <v>7</v>
      </c>
      <c r="H114" s="36" t="s">
        <v>7</v>
      </c>
      <c r="I114" s="36" t="s">
        <v>7</v>
      </c>
      <c r="J114" s="36" t="s">
        <v>7</v>
      </c>
      <c r="K114" s="36" t="s">
        <v>7</v>
      </c>
      <c r="L114" s="36" t="s">
        <v>7</v>
      </c>
      <c r="M114" s="36" t="s">
        <v>7</v>
      </c>
      <c r="N114" s="36" t="s">
        <v>7</v>
      </c>
      <c r="O114" s="36" t="s">
        <v>7</v>
      </c>
      <c r="P114" s="36" t="s">
        <v>7</v>
      </c>
      <c r="Q114" s="36" t="s">
        <v>7</v>
      </c>
      <c r="W114" s="36" t="s">
        <v>7</v>
      </c>
      <c r="X114" s="36" t="s">
        <v>7</v>
      </c>
      <c r="Y114" s="36" t="s">
        <v>7</v>
      </c>
      <c r="Z114" s="36" t="s">
        <v>7</v>
      </c>
      <c r="AA114" s="36" t="s">
        <v>7</v>
      </c>
      <c r="AB114" s="36" t="s">
        <v>7</v>
      </c>
      <c r="AC114" s="36" t="s">
        <v>7</v>
      </c>
      <c r="AD114" s="36" t="s">
        <v>7</v>
      </c>
      <c r="AE114" s="36" t="s">
        <v>7</v>
      </c>
      <c r="AF114" s="36" t="s">
        <v>7</v>
      </c>
      <c r="AG114" s="36" t="s">
        <v>7</v>
      </c>
      <c r="AH114" s="36" t="s">
        <v>7</v>
      </c>
    </row>
    <row r="115" spans="3:34" ht="24" customHeight="1">
      <c r="E115" s="1" t="s">
        <v>9</v>
      </c>
      <c r="F115" s="24" t="s">
        <v>10</v>
      </c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V115" s="1" t="s">
        <v>9</v>
      </c>
      <c r="W115" s="24" t="s">
        <v>10</v>
      </c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</row>
    <row r="116" spans="3:34" ht="24" customHeight="1">
      <c r="H116" s="36" t="s">
        <v>7</v>
      </c>
      <c r="I116" s="36" t="s">
        <v>7</v>
      </c>
      <c r="J116" s="36" t="s">
        <v>7</v>
      </c>
      <c r="K116" s="36" t="s">
        <v>7</v>
      </c>
      <c r="L116" s="36" t="s">
        <v>7</v>
      </c>
      <c r="M116" s="36" t="s">
        <v>7</v>
      </c>
      <c r="N116" s="36" t="s">
        <v>7</v>
      </c>
      <c r="O116" s="36" t="s">
        <v>7</v>
      </c>
      <c r="P116" s="36" t="s">
        <v>7</v>
      </c>
      <c r="Q116" s="36" t="s">
        <v>7</v>
      </c>
      <c r="Y116" s="36" t="s">
        <v>7</v>
      </c>
      <c r="Z116" s="36" t="s">
        <v>7</v>
      </c>
      <c r="AA116" s="36" t="s">
        <v>7</v>
      </c>
      <c r="AB116" s="36" t="s">
        <v>7</v>
      </c>
      <c r="AC116" s="36" t="s">
        <v>7</v>
      </c>
      <c r="AD116" s="36" t="s">
        <v>7</v>
      </c>
      <c r="AE116" s="36" t="s">
        <v>7</v>
      </c>
      <c r="AF116" s="36" t="s">
        <v>7</v>
      </c>
      <c r="AG116" s="36" t="s">
        <v>7</v>
      </c>
      <c r="AH116" s="36" t="s">
        <v>7</v>
      </c>
    </row>
    <row r="117" spans="3:34" ht="24" customHeight="1">
      <c r="G117" t="s">
        <v>73</v>
      </c>
      <c r="H117" s="9">
        <v>0.25159766834333008</v>
      </c>
      <c r="I117" s="9">
        <v>0.84093531364979657</v>
      </c>
      <c r="J117" s="9">
        <v>0.68638841681776896</v>
      </c>
      <c r="K117" s="9">
        <v>0.2487559454074697</v>
      </c>
      <c r="L117" s="9">
        <v>0.82538920379733294</v>
      </c>
      <c r="M117" s="9">
        <v>0.25232559686345168</v>
      </c>
      <c r="N117" s="9">
        <v>0.42581659003940131</v>
      </c>
      <c r="O117" s="9">
        <v>0.90204041801779189</v>
      </c>
      <c r="P117" s="9">
        <v>0.62518912207036004</v>
      </c>
      <c r="Q117" s="9">
        <v>0.65203845855920073</v>
      </c>
      <c r="X117" t="s">
        <v>73</v>
      </c>
      <c r="Y117" s="9">
        <v>0.14378143140972965</v>
      </c>
      <c r="Z117" s="9">
        <v>0.89071589800149531</v>
      </c>
      <c r="AA117" s="9">
        <v>0.48208770592716665</v>
      </c>
      <c r="AB117" s="9">
        <v>0.57809940574167062</v>
      </c>
      <c r="AC117" s="9">
        <v>0.54302450930090607</v>
      </c>
      <c r="AD117" s="9">
        <v>0.19260615023442984</v>
      </c>
      <c r="AE117" s="9">
        <v>0.18460722343082114</v>
      </c>
      <c r="AF117" s="9">
        <v>0.87580421168447464</v>
      </c>
      <c r="AG117" s="9">
        <v>0.55732015485948594</v>
      </c>
      <c r="AH117" s="9">
        <v>0.94599350403697113</v>
      </c>
    </row>
    <row r="118" spans="3:34" ht="24" customHeight="1">
      <c r="G118" t="s">
        <v>74</v>
      </c>
      <c r="H118" s="9">
        <v>0.55265546518946818</v>
      </c>
      <c r="I118" s="9">
        <v>0.65967708535866376</v>
      </c>
      <c r="J118" s="9">
        <v>0.84933580320314217</v>
      </c>
      <c r="K118" s="9">
        <v>0.83334758144651588</v>
      </c>
      <c r="L118" s="9">
        <v>0.55743116043090235</v>
      </c>
      <c r="M118" s="9">
        <v>0.96001327740227405</v>
      </c>
      <c r="N118" s="9">
        <v>0.21252850407766966</v>
      </c>
      <c r="O118" s="9">
        <v>0.96220907284631263</v>
      </c>
      <c r="P118" s="9">
        <v>0.61105452492648427</v>
      </c>
      <c r="Q118" s="9">
        <v>0.5136324758556563</v>
      </c>
      <c r="X118" t="s">
        <v>74</v>
      </c>
      <c r="Y118" s="9">
        <v>0.20944597005952614</v>
      </c>
      <c r="Z118" s="9">
        <v>0.55996861884691618</v>
      </c>
      <c r="AA118" s="9">
        <v>0.7895538104593367</v>
      </c>
      <c r="AB118" s="9">
        <v>0.80307570968837694</v>
      </c>
      <c r="AC118" s="9">
        <v>0.97042872030140792</v>
      </c>
      <c r="AD118" s="9">
        <v>0.12555462771763981</v>
      </c>
      <c r="AE118" s="9">
        <v>0.46221919060993422</v>
      </c>
      <c r="AF118" s="9">
        <v>0.21206864681230675</v>
      </c>
      <c r="AG118" s="9">
        <v>0.5117658581359994</v>
      </c>
      <c r="AH118" s="9">
        <v>0.92451301852383505</v>
      </c>
    </row>
    <row r="120" spans="3:34" ht="24" customHeight="1">
      <c r="F120" t="s">
        <v>75</v>
      </c>
      <c r="H120" s="33" cm="1">
        <f t="array" ref="H120:Q121">LN(H117:Q118)</f>
        <v>-1.3799240215146515</v>
      </c>
      <c r="I120" s="38">
        <v>-0.17324053796048322</v>
      </c>
      <c r="J120" s="38">
        <v>-0.37631160621626153</v>
      </c>
      <c r="K120" s="38">
        <v>-1.3912830020935059</v>
      </c>
      <c r="L120" s="38">
        <v>-0.19190024171366124</v>
      </c>
      <c r="M120" s="38">
        <v>-1.3770349744049371</v>
      </c>
      <c r="N120" s="38">
        <v>-0.85374656523525494</v>
      </c>
      <c r="O120" s="38">
        <v>-0.10309595059105803</v>
      </c>
      <c r="P120" s="38">
        <v>-0.46970107970588759</v>
      </c>
      <c r="Q120" s="39">
        <v>-0.42765173327481498</v>
      </c>
      <c r="W120" t="s">
        <v>75</v>
      </c>
      <c r="Y120" s="33" cm="1">
        <f t="array" ref="Y120:AH121">LN(Y117:AH118)</f>
        <v>-1.939460969920747</v>
      </c>
      <c r="Z120" s="38">
        <v>-0.1157297598190228</v>
      </c>
      <c r="AA120" s="38">
        <v>-0.72962921898021016</v>
      </c>
      <c r="AB120" s="38">
        <v>-0.54800944284498643</v>
      </c>
      <c r="AC120" s="38">
        <v>-0.61060082323275666</v>
      </c>
      <c r="AD120" s="38">
        <v>-1.6471078474465897</v>
      </c>
      <c r="AE120" s="38">
        <v>-1.6895248275011547</v>
      </c>
      <c r="AF120" s="38">
        <v>-0.13261271566947738</v>
      </c>
      <c r="AG120" s="38">
        <v>-0.58461541987220789</v>
      </c>
      <c r="AH120" s="39">
        <v>-5.5519576722364593E-2</v>
      </c>
    </row>
    <row r="121" spans="3:34" ht="24" customHeight="1">
      <c r="F121" t="s">
        <v>76</v>
      </c>
      <c r="H121" s="33">
        <v>-0.59302050021323827</v>
      </c>
      <c r="I121" s="38">
        <v>-0.41600482829873375</v>
      </c>
      <c r="J121" s="38">
        <v>-0.16330064295244204</v>
      </c>
      <c r="K121" s="38">
        <v>-0.18230445920430019</v>
      </c>
      <c r="L121" s="38">
        <v>-0.5844162623197372</v>
      </c>
      <c r="M121" s="38">
        <v>-4.080816398852858E-2</v>
      </c>
      <c r="N121" s="38">
        <v>-1.5486791627771139</v>
      </c>
      <c r="O121" s="38">
        <v>-3.8523520488413607E-2</v>
      </c>
      <c r="P121" s="38">
        <v>-0.49256908495987295</v>
      </c>
      <c r="Q121" s="39">
        <v>-0.66624729679924766</v>
      </c>
      <c r="W121" t="s">
        <v>76</v>
      </c>
      <c r="Y121" s="33">
        <v>-1.5632894723589359</v>
      </c>
      <c r="Z121" s="38">
        <v>-0.57987453459648075</v>
      </c>
      <c r="AA121" s="38">
        <v>-0.23628728996582851</v>
      </c>
      <c r="AB121" s="38">
        <v>-0.21930628593262036</v>
      </c>
      <c r="AC121" s="38">
        <v>-3.0017325436789453E-2</v>
      </c>
      <c r="AD121" s="38">
        <v>-2.0750143344987815</v>
      </c>
      <c r="AE121" s="38">
        <v>-0.77171606186114095</v>
      </c>
      <c r="AF121" s="38">
        <v>-1.550845251005454</v>
      </c>
      <c r="AG121" s="38">
        <v>-0.66988806686809899</v>
      </c>
      <c r="AH121" s="39">
        <v>-7.848814656255676E-2</v>
      </c>
    </row>
    <row r="123" spans="3:34" ht="24" customHeight="1">
      <c r="E123" t="s">
        <v>77</v>
      </c>
      <c r="H123" s="33" cm="1">
        <f t="array" ref="H123:Q123">H120:Q120-H121:Q121</f>
        <v>-0.78690352130141328</v>
      </c>
      <c r="I123" s="38">
        <v>0.24276429033825053</v>
      </c>
      <c r="J123" s="38">
        <v>-0.21301096326381949</v>
      </c>
      <c r="K123" s="38">
        <v>-1.2089785428892057</v>
      </c>
      <c r="L123" s="38">
        <v>0.39251602060607593</v>
      </c>
      <c r="M123" s="38">
        <v>-1.3362268104164086</v>
      </c>
      <c r="N123" s="38">
        <v>0.69493259754185899</v>
      </c>
      <c r="O123" s="38">
        <v>-6.4572430102644421E-2</v>
      </c>
      <c r="P123" s="38">
        <v>2.2868005253985357E-2</v>
      </c>
      <c r="Q123" s="39">
        <v>0.23859556352443267</v>
      </c>
      <c r="V123" t="s">
        <v>77</v>
      </c>
      <c r="Y123" s="33" cm="1">
        <f t="array" ref="Y123:AH123">Y120:AH120-Y121:AH121</f>
        <v>-0.37617149756181112</v>
      </c>
      <c r="Z123" s="38">
        <v>0.46414477477745797</v>
      </c>
      <c r="AA123" s="38">
        <v>-0.49334192901438167</v>
      </c>
      <c r="AB123" s="38">
        <v>-0.32870315691236607</v>
      </c>
      <c r="AC123" s="38">
        <v>-0.58058349779596718</v>
      </c>
      <c r="AD123" s="38">
        <v>0.42790648705219181</v>
      </c>
      <c r="AE123" s="38">
        <v>-0.91780876564001379</v>
      </c>
      <c r="AF123" s="38">
        <v>1.4182325353359766</v>
      </c>
      <c r="AG123" s="38">
        <v>8.5272646995891099E-2</v>
      </c>
      <c r="AH123" s="39">
        <v>2.2968569840192167E-2</v>
      </c>
    </row>
    <row r="124" spans="3:34" ht="24" customHeight="1">
      <c r="H124" s="1"/>
      <c r="W124" s="1"/>
    </row>
    <row r="125" spans="3:34" ht="24" customHeight="1">
      <c r="F125" s="11" t="s">
        <v>78</v>
      </c>
      <c r="G125" s="36" t="s">
        <v>7</v>
      </c>
    </row>
    <row r="126" spans="3:34" ht="24" customHeight="1">
      <c r="F126" s="11"/>
      <c r="H126" s="33" cm="1">
        <f t="array" ref="H126:Q126">_xlfn.ANCHORARRAY(H123)-_xlfn.ANCHORARRAY(Y123)</f>
        <v>-0.41073202373960216</v>
      </c>
      <c r="I126" s="38">
        <v>-0.22138048443920744</v>
      </c>
      <c r="J126" s="38">
        <v>0.28033096575056216</v>
      </c>
      <c r="K126" s="38">
        <v>-0.88027538597683963</v>
      </c>
      <c r="L126" s="38">
        <v>0.97309951840204312</v>
      </c>
      <c r="M126" s="38">
        <v>-1.7641332974686004</v>
      </c>
      <c r="N126" s="38">
        <v>1.6127413631818728</v>
      </c>
      <c r="O126" s="38">
        <v>-1.4828049654386211</v>
      </c>
      <c r="P126" s="38">
        <v>-6.2404641741905742E-2</v>
      </c>
      <c r="Q126" s="39">
        <v>0.21562699368424051</v>
      </c>
    </row>
    <row r="127" spans="3:34" ht="24" customHeight="1">
      <c r="C127" s="11" t="s">
        <v>79</v>
      </c>
      <c r="D127" s="9">
        <v>0.1</v>
      </c>
      <c r="F127" s="11" t="s">
        <v>80</v>
      </c>
      <c r="G127" s="36" t="s">
        <v>7</v>
      </c>
      <c r="H127" s="36"/>
    </row>
    <row r="128" spans="3:34" ht="24" customHeight="1">
      <c r="F128" s="11"/>
      <c r="H128" s="33" cm="1">
        <f t="array" ref="H128:Q128">D127*_xlfn.ANCHORARRAY(H126)</f>
        <v>-4.107320237396022E-2</v>
      </c>
      <c r="I128" s="38">
        <v>-2.2138048443920744E-2</v>
      </c>
      <c r="J128" s="38">
        <v>2.8033096575056218E-2</v>
      </c>
      <c r="K128" s="38">
        <v>-8.8027538597683974E-2</v>
      </c>
      <c r="L128" s="38">
        <v>9.7309951840204315E-2</v>
      </c>
      <c r="M128" s="38">
        <v>-0.17641332974686005</v>
      </c>
      <c r="N128" s="38">
        <v>0.16127413631818729</v>
      </c>
      <c r="O128" s="38">
        <v>-0.14828049654386211</v>
      </c>
      <c r="P128" s="38">
        <v>-6.2404641741905745E-3</v>
      </c>
      <c r="Q128" s="39">
        <v>2.1562699368424053E-2</v>
      </c>
    </row>
    <row r="129" spans="1:42" ht="24" customHeight="1">
      <c r="C129" s="11"/>
      <c r="D129" s="11"/>
      <c r="E129" s="11"/>
      <c r="F129" s="11" t="s">
        <v>81</v>
      </c>
      <c r="G129" s="36" t="s">
        <v>7</v>
      </c>
      <c r="H129" s="36"/>
      <c r="I129" s="36"/>
      <c r="J129" s="36"/>
      <c r="K129" s="36"/>
      <c r="L129" s="36"/>
      <c r="M129" s="36"/>
      <c r="N129" s="36"/>
      <c r="O129" s="36"/>
      <c r="P129" s="36"/>
      <c r="Q129" s="36"/>
    </row>
    <row r="130" spans="1:42" ht="24" customHeight="1">
      <c r="F130" s="11"/>
      <c r="H130" s="21" cm="1">
        <f t="array" ref="H130:Q130">_xlfn.LET(_xlpm.x,_xlfn.ANCHORARRAY(H128),1/(1+EXP(-_xlpm.x)))</f>
        <v>0.48973314272175256</v>
      </c>
      <c r="I130" s="21">
        <v>0.49446571391349992</v>
      </c>
      <c r="J130" s="21">
        <v>0.50700781522284533</v>
      </c>
      <c r="K130" s="21">
        <v>0.47800731501376409</v>
      </c>
      <c r="L130" s="21">
        <v>0.52430830924567284</v>
      </c>
      <c r="M130" s="21">
        <v>0.45601069346265183</v>
      </c>
      <c r="N130" s="21">
        <v>0.54023137254521991</v>
      </c>
      <c r="O130" s="21">
        <v>0.46299764891594464</v>
      </c>
      <c r="P130" s="21">
        <v>0.4984398890194503</v>
      </c>
      <c r="Q130" s="21">
        <v>0.50539046598562598</v>
      </c>
    </row>
    <row r="131" spans="1:42" ht="24" customHeight="1">
      <c r="F131" s="11" t="s">
        <v>82</v>
      </c>
      <c r="G131" s="36" t="s">
        <v>7</v>
      </c>
      <c r="H131" s="36"/>
    </row>
    <row r="132" spans="1:42" ht="24" customHeight="1">
      <c r="F132" s="11"/>
      <c r="H132" s="21" cm="1">
        <f t="array" ref="H132:Q132">LN(_xlfn.ANCHORARRAY(H130))</f>
        <v>-0.71389464291985405</v>
      </c>
      <c r="I132" s="21">
        <v>-0.70427746517956336</v>
      </c>
      <c r="J132" s="21">
        <v>-0.67922886086903767</v>
      </c>
      <c r="K132" s="21">
        <v>-0.73812924323170104</v>
      </c>
      <c r="L132" s="21">
        <v>-0.64567539126359663</v>
      </c>
      <c r="M132" s="21">
        <v>-0.78523901916672056</v>
      </c>
      <c r="N132" s="21">
        <v>-0.61575776351354705</v>
      </c>
      <c r="O132" s="21">
        <v>-0.77003330284412053</v>
      </c>
      <c r="P132" s="21">
        <v>-0.6962722805632805</v>
      </c>
      <c r="Q132" s="21">
        <v>-0.68242394850034505</v>
      </c>
    </row>
    <row r="133" spans="1:42" ht="24" customHeight="1">
      <c r="F133" s="11" t="s">
        <v>66</v>
      </c>
      <c r="G133" s="36" t="s">
        <v>7</v>
      </c>
    </row>
    <row r="134" spans="1:42" ht="24" customHeight="1">
      <c r="F134" s="11"/>
      <c r="H134" s="5">
        <f>AVERAGE(_xlfn.ANCHORARRAY(H132))</f>
        <v>-0.7030931918051766</v>
      </c>
    </row>
    <row r="135" spans="1:42" ht="24" customHeight="1" thickBot="1">
      <c r="F135" s="11" t="s">
        <v>67</v>
      </c>
      <c r="G135" s="36" t="s">
        <v>7</v>
      </c>
    </row>
    <row r="136" spans="1:42" ht="24" customHeight="1" thickBot="1">
      <c r="H136" s="23">
        <f>-H134</f>
        <v>0.7030931918051766</v>
      </c>
    </row>
    <row r="137" spans="1:42" ht="24" customHeight="1">
      <c r="H137" s="40" t="s">
        <v>83</v>
      </c>
    </row>
    <row r="140" spans="1:42" ht="24" customHeight="1">
      <c r="B140" s="1"/>
    </row>
    <row r="142" spans="1:42" s="25" customFormat="1" ht="36.950000000000003">
      <c r="A142" s="25" t="s">
        <v>84</v>
      </c>
    </row>
    <row r="143" spans="1:42" ht="24" customHeight="1">
      <c r="A143" s="55" t="str">
        <f>HYPERLINK("#A1","[top]")</f>
        <v>[top]</v>
      </c>
    </row>
    <row r="144" spans="1:42" ht="24" customHeight="1">
      <c r="G144" t="s">
        <v>20</v>
      </c>
      <c r="X144" t="s">
        <v>21</v>
      </c>
      <c r="AP144" t="s">
        <v>23</v>
      </c>
    </row>
    <row r="146" spans="2:53" ht="24" customHeight="1">
      <c r="G146" t="s">
        <v>15</v>
      </c>
      <c r="AM146" t="s">
        <v>6</v>
      </c>
      <c r="AP146" t="s">
        <v>15</v>
      </c>
    </row>
    <row r="147" spans="2:53" ht="24" customHeight="1">
      <c r="D147" t="s">
        <v>6</v>
      </c>
      <c r="G147" s="30">
        <v>4</v>
      </c>
      <c r="H147" s="31">
        <v>2</v>
      </c>
      <c r="I147" s="32">
        <v>1</v>
      </c>
      <c r="J147" s="27" cm="1">
        <f t="array" aca="1" ref="J147:R151" ca="1">_xlfn.RANDARRAY(5,9,1,12,TRUE)</f>
        <v>6</v>
      </c>
      <c r="K147" s="28">
        <f ca="1"/>
        <v>3</v>
      </c>
      <c r="L147" s="28">
        <f ca="1"/>
        <v>6</v>
      </c>
      <c r="M147" s="28">
        <f ca="1"/>
        <v>8</v>
      </c>
      <c r="N147" s="28">
        <f ca="1"/>
        <v>10</v>
      </c>
      <c r="O147" s="28">
        <f ca="1"/>
        <v>6</v>
      </c>
      <c r="P147" s="28">
        <f ca="1"/>
        <v>3</v>
      </c>
      <c r="Q147" s="28">
        <f ca="1"/>
        <v>3</v>
      </c>
      <c r="R147" s="29">
        <f ca="1"/>
        <v>12</v>
      </c>
      <c r="X147" s="30" cm="1">
        <f t="array" ref="X147:Z151">G147:I151</f>
        <v>4</v>
      </c>
      <c r="Y147" s="31">
        <v>2</v>
      </c>
      <c r="Z147" s="32">
        <v>1</v>
      </c>
      <c r="AA147" s="27" cm="1">
        <f t="array" aca="1" ref="AA147:AI151" ca="1">_xlfn.ANCHORARRAY(J147)</f>
        <v>6</v>
      </c>
      <c r="AB147" s="28">
        <f ca="1"/>
        <v>3</v>
      </c>
      <c r="AC147" s="28">
        <f ca="1"/>
        <v>6</v>
      </c>
      <c r="AD147" s="28">
        <f ca="1"/>
        <v>8</v>
      </c>
      <c r="AE147" s="28">
        <f ca="1"/>
        <v>10</v>
      </c>
      <c r="AF147" s="28">
        <f ca="1"/>
        <v>6</v>
      </c>
      <c r="AG147" s="28">
        <f ca="1"/>
        <v>3</v>
      </c>
      <c r="AH147" s="28">
        <f ca="1"/>
        <v>3</v>
      </c>
      <c r="AI147" s="29">
        <f ca="1"/>
        <v>12</v>
      </c>
      <c r="AO147" s="1"/>
      <c r="AP147" s="30" cm="1">
        <f t="array" ref="AP147:AR151">_xlfn.ANCHORARRAY(X147)</f>
        <v>4</v>
      </c>
      <c r="AQ147" s="31">
        <v>2</v>
      </c>
      <c r="AR147" s="32">
        <v>1</v>
      </c>
      <c r="AS147" s="27" cm="1">
        <f t="array" aca="1" ref="AS147:BA151" ca="1">_xlfn.ANCHORARRAY(AA147)</f>
        <v>6</v>
      </c>
      <c r="AT147" s="28">
        <f ca="1"/>
        <v>3</v>
      </c>
      <c r="AU147" s="28">
        <f ca="1"/>
        <v>6</v>
      </c>
      <c r="AV147" s="28">
        <f ca="1"/>
        <v>8</v>
      </c>
      <c r="AW147" s="28">
        <f ca="1"/>
        <v>10</v>
      </c>
      <c r="AX147" s="28">
        <f ca="1"/>
        <v>6</v>
      </c>
      <c r="AY147" s="28">
        <f ca="1"/>
        <v>3</v>
      </c>
      <c r="AZ147" s="28">
        <f ca="1"/>
        <v>3</v>
      </c>
      <c r="BA147" s="29">
        <f ca="1"/>
        <v>12</v>
      </c>
    </row>
    <row r="148" spans="2:53" ht="24" customHeight="1">
      <c r="F148" s="1"/>
      <c r="G148" s="30" cm="1">
        <f t="array" ref="G148:I148">G147:I147</f>
        <v>4</v>
      </c>
      <c r="H148" s="31">
        <v>2</v>
      </c>
      <c r="I148" s="32">
        <v>1</v>
      </c>
      <c r="J148" s="27">
        <f ca="1"/>
        <v>6</v>
      </c>
      <c r="K148" s="28">
        <f ca="1"/>
        <v>4</v>
      </c>
      <c r="L148" s="28">
        <f ca="1"/>
        <v>12</v>
      </c>
      <c r="M148" s="28">
        <f ca="1"/>
        <v>2</v>
      </c>
      <c r="N148" s="28">
        <f ca="1"/>
        <v>4</v>
      </c>
      <c r="O148" s="28">
        <f ca="1"/>
        <v>10</v>
      </c>
      <c r="P148" s="28">
        <f ca="1"/>
        <v>8</v>
      </c>
      <c r="Q148" s="28">
        <f ca="1"/>
        <v>3</v>
      </c>
      <c r="R148" s="29">
        <f ca="1"/>
        <v>10</v>
      </c>
      <c r="X148" s="30">
        <v>4</v>
      </c>
      <c r="Y148" s="31">
        <v>2</v>
      </c>
      <c r="Z148" s="32">
        <v>1</v>
      </c>
      <c r="AA148" s="27">
        <f ca="1"/>
        <v>6</v>
      </c>
      <c r="AB148" s="28">
        <f ca="1"/>
        <v>4</v>
      </c>
      <c r="AC148" s="28">
        <f ca="1"/>
        <v>12</v>
      </c>
      <c r="AD148" s="28">
        <f ca="1"/>
        <v>2</v>
      </c>
      <c r="AE148" s="28">
        <f ca="1"/>
        <v>4</v>
      </c>
      <c r="AF148" s="28">
        <f ca="1"/>
        <v>10</v>
      </c>
      <c r="AG148" s="28">
        <f ca="1"/>
        <v>8</v>
      </c>
      <c r="AH148" s="28">
        <f ca="1"/>
        <v>3</v>
      </c>
      <c r="AI148" s="29">
        <f ca="1"/>
        <v>10</v>
      </c>
      <c r="AP148" s="30">
        <v>4</v>
      </c>
      <c r="AQ148" s="31">
        <v>2</v>
      </c>
      <c r="AR148" s="32">
        <v>1</v>
      </c>
      <c r="AS148" s="27">
        <f ca="1"/>
        <v>6</v>
      </c>
      <c r="AT148" s="28">
        <f ca="1"/>
        <v>4</v>
      </c>
      <c r="AU148" s="28">
        <f ca="1"/>
        <v>12</v>
      </c>
      <c r="AV148" s="28">
        <f ca="1"/>
        <v>2</v>
      </c>
      <c r="AW148" s="28">
        <f ca="1"/>
        <v>4</v>
      </c>
      <c r="AX148" s="28">
        <f ca="1"/>
        <v>10</v>
      </c>
      <c r="AY148" s="28">
        <f ca="1"/>
        <v>8</v>
      </c>
      <c r="AZ148" s="28">
        <f ca="1"/>
        <v>3</v>
      </c>
      <c r="BA148" s="29">
        <f ca="1"/>
        <v>10</v>
      </c>
    </row>
    <row r="149" spans="2:53" ht="24" customHeight="1">
      <c r="F149" s="1"/>
      <c r="G149" s="30" cm="1">
        <f t="array" ref="G149:I149">_xlfn.ANCHORARRAY(G148)</f>
        <v>4</v>
      </c>
      <c r="H149" s="31">
        <v>2</v>
      </c>
      <c r="I149" s="32">
        <v>1</v>
      </c>
      <c r="J149" s="27">
        <f ca="1"/>
        <v>6</v>
      </c>
      <c r="K149" s="28">
        <f ca="1"/>
        <v>8</v>
      </c>
      <c r="L149" s="28">
        <f ca="1"/>
        <v>5</v>
      </c>
      <c r="M149" s="28">
        <f ca="1"/>
        <v>5</v>
      </c>
      <c r="N149" s="28">
        <f ca="1"/>
        <v>12</v>
      </c>
      <c r="O149" s="28">
        <f ca="1"/>
        <v>2</v>
      </c>
      <c r="P149" s="28">
        <f ca="1"/>
        <v>10</v>
      </c>
      <c r="Q149" s="28">
        <f ca="1"/>
        <v>7</v>
      </c>
      <c r="R149" s="29">
        <f ca="1"/>
        <v>1</v>
      </c>
      <c r="X149" s="30">
        <v>4</v>
      </c>
      <c r="Y149" s="31">
        <v>2</v>
      </c>
      <c r="Z149" s="32">
        <v>1</v>
      </c>
      <c r="AA149" s="27">
        <f ca="1"/>
        <v>6</v>
      </c>
      <c r="AB149" s="28">
        <f ca="1"/>
        <v>8</v>
      </c>
      <c r="AC149" s="28">
        <f ca="1"/>
        <v>5</v>
      </c>
      <c r="AD149" s="28">
        <f ca="1"/>
        <v>5</v>
      </c>
      <c r="AE149" s="28">
        <f ca="1"/>
        <v>12</v>
      </c>
      <c r="AF149" s="28">
        <f ca="1"/>
        <v>2</v>
      </c>
      <c r="AG149" s="28">
        <f ca="1"/>
        <v>10</v>
      </c>
      <c r="AH149" s="28">
        <f ca="1"/>
        <v>7</v>
      </c>
      <c r="AI149" s="29">
        <f ca="1"/>
        <v>1</v>
      </c>
      <c r="AP149" s="30">
        <v>4</v>
      </c>
      <c r="AQ149" s="31">
        <v>2</v>
      </c>
      <c r="AR149" s="32">
        <v>1</v>
      </c>
      <c r="AS149" s="27">
        <f ca="1"/>
        <v>6</v>
      </c>
      <c r="AT149" s="28">
        <f ca="1"/>
        <v>8</v>
      </c>
      <c r="AU149" s="28">
        <f ca="1"/>
        <v>5</v>
      </c>
      <c r="AV149" s="28">
        <f ca="1"/>
        <v>5</v>
      </c>
      <c r="AW149" s="28">
        <f ca="1"/>
        <v>12</v>
      </c>
      <c r="AX149" s="28">
        <f ca="1"/>
        <v>2</v>
      </c>
      <c r="AY149" s="28">
        <f ca="1"/>
        <v>10</v>
      </c>
      <c r="AZ149" s="28">
        <f ca="1"/>
        <v>7</v>
      </c>
      <c r="BA149" s="29">
        <f ca="1"/>
        <v>1</v>
      </c>
    </row>
    <row r="150" spans="2:53" ht="24" customHeight="1">
      <c r="F150" s="1"/>
      <c r="G150" s="30" cm="1">
        <f t="array" ref="G150:I150">_xlfn.ANCHORARRAY(G149)</f>
        <v>4</v>
      </c>
      <c r="H150" s="31">
        <v>2</v>
      </c>
      <c r="I150" s="32">
        <v>1</v>
      </c>
      <c r="J150" s="27">
        <f ca="1"/>
        <v>11</v>
      </c>
      <c r="K150" s="28">
        <f ca="1"/>
        <v>1</v>
      </c>
      <c r="L150" s="28">
        <f ca="1"/>
        <v>12</v>
      </c>
      <c r="M150" s="28">
        <f ca="1"/>
        <v>7</v>
      </c>
      <c r="N150" s="28">
        <f ca="1"/>
        <v>10</v>
      </c>
      <c r="O150" s="28">
        <f ca="1"/>
        <v>11</v>
      </c>
      <c r="P150" s="28">
        <f ca="1"/>
        <v>12</v>
      </c>
      <c r="Q150" s="28">
        <f ca="1"/>
        <v>5</v>
      </c>
      <c r="R150" s="29">
        <f ca="1"/>
        <v>1</v>
      </c>
      <c r="X150" s="30">
        <v>4</v>
      </c>
      <c r="Y150" s="31">
        <v>2</v>
      </c>
      <c r="Z150" s="32">
        <v>1</v>
      </c>
      <c r="AA150" s="27">
        <f ca="1"/>
        <v>11</v>
      </c>
      <c r="AB150" s="28">
        <f ca="1"/>
        <v>1</v>
      </c>
      <c r="AC150" s="28">
        <f ca="1"/>
        <v>12</v>
      </c>
      <c r="AD150" s="28">
        <f ca="1"/>
        <v>7</v>
      </c>
      <c r="AE150" s="28">
        <f ca="1"/>
        <v>10</v>
      </c>
      <c r="AF150" s="28">
        <f ca="1"/>
        <v>11</v>
      </c>
      <c r="AG150" s="28">
        <f ca="1"/>
        <v>12</v>
      </c>
      <c r="AH150" s="28">
        <f ca="1"/>
        <v>5</v>
      </c>
      <c r="AI150" s="29">
        <f ca="1"/>
        <v>1</v>
      </c>
      <c r="AP150" s="30">
        <v>4</v>
      </c>
      <c r="AQ150" s="31">
        <v>2</v>
      </c>
      <c r="AR150" s="32">
        <v>1</v>
      </c>
      <c r="AS150" s="27">
        <f ca="1"/>
        <v>11</v>
      </c>
      <c r="AT150" s="28">
        <f ca="1"/>
        <v>1</v>
      </c>
      <c r="AU150" s="28">
        <f ca="1"/>
        <v>12</v>
      </c>
      <c r="AV150" s="28">
        <f ca="1"/>
        <v>7</v>
      </c>
      <c r="AW150" s="28">
        <f ca="1"/>
        <v>10</v>
      </c>
      <c r="AX150" s="28">
        <f ca="1"/>
        <v>11</v>
      </c>
      <c r="AY150" s="28">
        <f ca="1"/>
        <v>12</v>
      </c>
      <c r="AZ150" s="28">
        <f ca="1"/>
        <v>5</v>
      </c>
      <c r="BA150" s="29">
        <f ca="1"/>
        <v>1</v>
      </c>
    </row>
    <row r="151" spans="2:53" ht="24" customHeight="1">
      <c r="F151" s="1"/>
      <c r="G151" s="30" cm="1">
        <f t="array" ref="G151:I151">_xlfn.ANCHORARRAY(G150)</f>
        <v>4</v>
      </c>
      <c r="H151" s="31">
        <v>2</v>
      </c>
      <c r="I151" s="32">
        <v>1</v>
      </c>
      <c r="J151" s="27">
        <f ca="1"/>
        <v>4</v>
      </c>
      <c r="K151" s="28">
        <f ca="1"/>
        <v>8</v>
      </c>
      <c r="L151" s="28">
        <f ca="1"/>
        <v>1</v>
      </c>
      <c r="M151" s="28">
        <f ca="1"/>
        <v>8</v>
      </c>
      <c r="N151" s="28">
        <f ca="1"/>
        <v>8</v>
      </c>
      <c r="O151" s="28">
        <f ca="1"/>
        <v>7</v>
      </c>
      <c r="P151" s="28">
        <f ca="1"/>
        <v>9</v>
      </c>
      <c r="Q151" s="28">
        <f ca="1"/>
        <v>8</v>
      </c>
      <c r="R151" s="29">
        <f ca="1"/>
        <v>7</v>
      </c>
      <c r="W151" s="6"/>
      <c r="X151" s="30">
        <v>4</v>
      </c>
      <c r="Y151" s="31">
        <v>2</v>
      </c>
      <c r="Z151" s="32">
        <v>1</v>
      </c>
      <c r="AA151" s="27">
        <f ca="1"/>
        <v>4</v>
      </c>
      <c r="AB151" s="28">
        <f ca="1"/>
        <v>8</v>
      </c>
      <c r="AC151" s="28">
        <f ca="1"/>
        <v>1</v>
      </c>
      <c r="AD151" s="28">
        <f ca="1"/>
        <v>8</v>
      </c>
      <c r="AE151" s="28">
        <f ca="1"/>
        <v>8</v>
      </c>
      <c r="AF151" s="28">
        <f ca="1"/>
        <v>7</v>
      </c>
      <c r="AG151" s="28">
        <f ca="1"/>
        <v>9</v>
      </c>
      <c r="AH151" s="28">
        <f ca="1"/>
        <v>8</v>
      </c>
      <c r="AI151" s="29">
        <f ca="1"/>
        <v>7</v>
      </c>
      <c r="AP151" s="30">
        <v>4</v>
      </c>
      <c r="AQ151" s="31">
        <v>2</v>
      </c>
      <c r="AR151" s="32">
        <v>1</v>
      </c>
      <c r="AS151" s="27">
        <f ca="1"/>
        <v>4</v>
      </c>
      <c r="AT151" s="28">
        <f ca="1"/>
        <v>8</v>
      </c>
      <c r="AU151" s="28">
        <f ca="1"/>
        <v>1</v>
      </c>
      <c r="AV151" s="28">
        <f ca="1"/>
        <v>8</v>
      </c>
      <c r="AW151" s="28">
        <f ca="1"/>
        <v>8</v>
      </c>
      <c r="AX151" s="28">
        <f ca="1"/>
        <v>7</v>
      </c>
      <c r="AY151" s="28">
        <f ca="1"/>
        <v>9</v>
      </c>
      <c r="AZ151" s="28">
        <f ca="1"/>
        <v>8</v>
      </c>
      <c r="BA151" s="29">
        <f ca="1"/>
        <v>7</v>
      </c>
    </row>
    <row r="152" spans="2:53" ht="24" customHeight="1">
      <c r="G152" s="36" t="s">
        <v>7</v>
      </c>
      <c r="H152" s="36" t="s">
        <v>7</v>
      </c>
      <c r="I152" s="36" t="s">
        <v>7</v>
      </c>
      <c r="J152" s="36" t="s">
        <v>7</v>
      </c>
      <c r="K152" s="36" t="s">
        <v>7</v>
      </c>
      <c r="L152" s="36" t="s">
        <v>7</v>
      </c>
      <c r="M152" s="36" t="s">
        <v>7</v>
      </c>
      <c r="N152" s="36" t="s">
        <v>7</v>
      </c>
      <c r="O152" s="36" t="s">
        <v>7</v>
      </c>
      <c r="P152" s="36" t="s">
        <v>7</v>
      </c>
      <c r="Q152" s="36" t="s">
        <v>7</v>
      </c>
      <c r="R152" s="36" t="s">
        <v>7</v>
      </c>
      <c r="X152" s="36" t="s">
        <v>7</v>
      </c>
      <c r="Y152" s="36" t="s">
        <v>7</v>
      </c>
      <c r="Z152" s="36" t="s">
        <v>7</v>
      </c>
      <c r="AA152" s="36" t="s">
        <v>7</v>
      </c>
      <c r="AB152" s="36" t="s">
        <v>7</v>
      </c>
      <c r="AC152" s="36" t="s">
        <v>7</v>
      </c>
      <c r="AD152" s="36" t="s">
        <v>7</v>
      </c>
      <c r="AE152" s="36" t="s">
        <v>7</v>
      </c>
      <c r="AF152" s="36" t="s">
        <v>7</v>
      </c>
      <c r="AG152" s="36" t="s">
        <v>7</v>
      </c>
      <c r="AH152" s="36" t="s">
        <v>7</v>
      </c>
      <c r="AI152" s="36" t="s">
        <v>7</v>
      </c>
      <c r="AP152" s="36" t="s">
        <v>7</v>
      </c>
      <c r="AQ152" s="36" t="s">
        <v>7</v>
      </c>
      <c r="AR152" s="36" t="s">
        <v>7</v>
      </c>
      <c r="AS152" s="36" t="s">
        <v>7</v>
      </c>
      <c r="AT152" s="36" t="s">
        <v>7</v>
      </c>
      <c r="AU152" s="36" t="s">
        <v>7</v>
      </c>
      <c r="AV152" s="36" t="s">
        <v>7</v>
      </c>
      <c r="AW152" s="36" t="s">
        <v>7</v>
      </c>
      <c r="AX152" s="36" t="s">
        <v>7</v>
      </c>
      <c r="AY152" s="36" t="s">
        <v>7</v>
      </c>
      <c r="AZ152" s="36" t="s">
        <v>7</v>
      </c>
      <c r="BA152" s="36" t="s">
        <v>7</v>
      </c>
    </row>
    <row r="153" spans="2:53" ht="24" customHeight="1">
      <c r="F153" s="1" t="s">
        <v>9</v>
      </c>
      <c r="G153" s="24" t="s">
        <v>10</v>
      </c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W153" s="1" t="s">
        <v>85</v>
      </c>
      <c r="X153" s="43" t="s">
        <v>86</v>
      </c>
      <c r="Y153" s="43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O153" s="1" t="s">
        <v>9</v>
      </c>
      <c r="AP153" s="26" t="s">
        <v>10</v>
      </c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</row>
    <row r="154" spans="2:53" ht="24" customHeight="1">
      <c r="G154" s="36"/>
      <c r="H154" s="36"/>
      <c r="I154" s="36" t="s">
        <v>7</v>
      </c>
      <c r="J154" s="36" t="s">
        <v>7</v>
      </c>
      <c r="K154" s="36" t="s">
        <v>7</v>
      </c>
      <c r="L154" s="36" t="s">
        <v>7</v>
      </c>
      <c r="M154" s="36" t="s">
        <v>7</v>
      </c>
      <c r="N154" s="36" t="s">
        <v>7</v>
      </c>
      <c r="O154" s="36" t="s">
        <v>7</v>
      </c>
      <c r="P154" s="36" t="s">
        <v>7</v>
      </c>
      <c r="Q154" s="36" t="s">
        <v>7</v>
      </c>
      <c r="R154" s="36" t="s">
        <v>7</v>
      </c>
      <c r="AI154" s="37" t="s">
        <v>7</v>
      </c>
      <c r="AR154" s="36" t="s">
        <v>7</v>
      </c>
      <c r="AS154" s="36" t="s">
        <v>7</v>
      </c>
      <c r="AT154" s="36" t="s">
        <v>7</v>
      </c>
      <c r="AU154" s="36" t="s">
        <v>7</v>
      </c>
      <c r="AV154" s="36" t="s">
        <v>7</v>
      </c>
      <c r="AW154" s="36" t="s">
        <v>7</v>
      </c>
      <c r="AX154" s="36" t="s">
        <v>7</v>
      </c>
      <c r="AY154" s="36" t="s">
        <v>7</v>
      </c>
      <c r="AZ154" s="36" t="s">
        <v>7</v>
      </c>
      <c r="BA154" s="36" t="s">
        <v>7</v>
      </c>
    </row>
    <row r="155" spans="2:53" ht="24" customHeight="1" thickBot="1">
      <c r="G155" t="s">
        <v>18</v>
      </c>
      <c r="H155" s="1" t="s">
        <v>87</v>
      </c>
      <c r="AD155" t="s">
        <v>88</v>
      </c>
      <c r="AE155" s="18"/>
      <c r="AH155" t="s">
        <v>89</v>
      </c>
      <c r="AP155" t="s">
        <v>27</v>
      </c>
      <c r="AQ155" s="1" t="s">
        <v>87</v>
      </c>
    </row>
    <row r="156" spans="2:53" ht="24" customHeight="1">
      <c r="H156" s="1">
        <v>1</v>
      </c>
      <c r="I156" s="9" cm="1">
        <f t="array" aca="1" ref="I156:R160" ca="1">_xlfn.RANDARRAY(5,10)</f>
        <v>0.8267719952273187</v>
      </c>
      <c r="J156" s="9">
        <f ca="1"/>
        <v>0.28768834009769639</v>
      </c>
      <c r="K156" s="9">
        <f ca="1"/>
        <v>0.29671092533129695</v>
      </c>
      <c r="L156" s="9">
        <f ca="1"/>
        <v>0.5576120209783868</v>
      </c>
      <c r="M156" s="9">
        <f ca="1"/>
        <v>0.78909886689808539</v>
      </c>
      <c r="N156" s="9">
        <f ca="1"/>
        <v>0.1651431974547195</v>
      </c>
      <c r="O156" s="9">
        <f ca="1"/>
        <v>0.78401234419395704</v>
      </c>
      <c r="P156" s="9">
        <f ca="1"/>
        <v>0.67339899876192</v>
      </c>
      <c r="Q156" s="9">
        <f ca="1"/>
        <v>0.59955068775217901</v>
      </c>
      <c r="R156" s="9">
        <f ca="1"/>
        <v>0.96588344127621784</v>
      </c>
      <c r="AI156" s="45" cm="1">
        <f t="array" aca="1" ref="AI156:AI160" ca="1">_xlfn.RANDARRAY(5,1)</f>
        <v>0.71080886541621013</v>
      </c>
      <c r="AQ156" s="1">
        <v>1</v>
      </c>
      <c r="AR156" s="9" cm="1">
        <f t="array" aca="1" ref="AR156:BA160" ca="1">_xlfn.RANDARRAY(5,10)</f>
        <v>0.98881024080848201</v>
      </c>
      <c r="AS156" s="9">
        <f ca="1"/>
        <v>0.24282009552476413</v>
      </c>
      <c r="AT156" s="9">
        <f ca="1"/>
        <v>0.11141648474650645</v>
      </c>
      <c r="AU156" s="9">
        <f ca="1"/>
        <v>0.30756181390170578</v>
      </c>
      <c r="AV156" s="9">
        <f ca="1"/>
        <v>0.91865642659354263</v>
      </c>
      <c r="AW156" s="9">
        <f ca="1"/>
        <v>0.93070643584032053</v>
      </c>
      <c r="AX156" s="9">
        <f ca="1"/>
        <v>5.1415219366679477E-2</v>
      </c>
      <c r="AY156" s="9">
        <f ca="1"/>
        <v>3.8657379915187029E-2</v>
      </c>
      <c r="AZ156" s="9">
        <f ca="1"/>
        <v>0.68882784808913988</v>
      </c>
      <c r="BA156" s="9">
        <f ca="1"/>
        <v>0.64822601372292499</v>
      </c>
    </row>
    <row r="157" spans="2:53" ht="24" customHeight="1">
      <c r="H157" s="1">
        <v>2</v>
      </c>
      <c r="I157" s="9">
        <f ca="1"/>
        <v>0.85041370706406827</v>
      </c>
      <c r="J157" s="9">
        <f ca="1"/>
        <v>0.51551307452116091</v>
      </c>
      <c r="K157" s="9">
        <f ca="1"/>
        <v>0.15479634959267652</v>
      </c>
      <c r="L157" s="9">
        <f ca="1"/>
        <v>0.81387883780999992</v>
      </c>
      <c r="M157" s="9">
        <f ca="1"/>
        <v>0.57094961695204494</v>
      </c>
      <c r="N157" s="9">
        <f ca="1"/>
        <v>0.67305419734317407</v>
      </c>
      <c r="O157" s="9">
        <f ca="1"/>
        <v>0.98747541091595092</v>
      </c>
      <c r="P157" s="9">
        <f ca="1"/>
        <v>0.72517950423703148</v>
      </c>
      <c r="Q157" s="9">
        <f ca="1"/>
        <v>0.89202219310124597</v>
      </c>
      <c r="R157" s="9">
        <f ca="1"/>
        <v>0.53482272118155882</v>
      </c>
      <c r="AI157" s="46">
        <f ca="1"/>
        <v>0.99152044998211974</v>
      </c>
      <c r="AQ157" s="1">
        <v>2</v>
      </c>
      <c r="AR157" s="9">
        <f ca="1"/>
        <v>0.22645249785003241</v>
      </c>
      <c r="AS157" s="9">
        <f ca="1"/>
        <v>0.12366581566210533</v>
      </c>
      <c r="AT157" s="9">
        <f ca="1"/>
        <v>0.44798752897547578</v>
      </c>
      <c r="AU157" s="9">
        <f ca="1"/>
        <v>0.3342099371645908</v>
      </c>
      <c r="AV157" s="9">
        <f ca="1"/>
        <v>0.8570012279989212</v>
      </c>
      <c r="AW157" s="9">
        <f ca="1"/>
        <v>0.56069364740836813</v>
      </c>
      <c r="AX157" s="9">
        <f ca="1"/>
        <v>0.17161570161697171</v>
      </c>
      <c r="AY157" s="9">
        <f ca="1"/>
        <v>0.2802965322330131</v>
      </c>
      <c r="AZ157" s="9">
        <f ca="1"/>
        <v>0.10668425479460653</v>
      </c>
      <c r="BA157" s="9">
        <f ca="1"/>
        <v>4.9118491158553823E-2</v>
      </c>
    </row>
    <row r="158" spans="2:53" ht="24" customHeight="1">
      <c r="H158" s="1">
        <v>3</v>
      </c>
      <c r="I158" s="9">
        <f ca="1"/>
        <v>0.44968810011503568</v>
      </c>
      <c r="J158" s="9">
        <f ca="1"/>
        <v>0.51645847211301144</v>
      </c>
      <c r="K158" s="9">
        <f ca="1"/>
        <v>0.61116690941577145</v>
      </c>
      <c r="L158" s="9">
        <f ca="1"/>
        <v>2.5365626947366327E-2</v>
      </c>
      <c r="M158" s="9">
        <f ca="1"/>
        <v>0.16740067009440818</v>
      </c>
      <c r="N158" s="9">
        <f ca="1"/>
        <v>0.10939686860106934</v>
      </c>
      <c r="O158" s="9">
        <f ca="1"/>
        <v>5.7213549075836756E-2</v>
      </c>
      <c r="P158" s="9">
        <f ca="1"/>
        <v>0.15838907898426857</v>
      </c>
      <c r="Q158" s="9">
        <f ca="1"/>
        <v>0.6130683618672359</v>
      </c>
      <c r="R158" s="9">
        <f ca="1"/>
        <v>0.66552535783152744</v>
      </c>
      <c r="AI158" s="46">
        <f ca="1"/>
        <v>0.52230948056849424</v>
      </c>
      <c r="AQ158" s="1">
        <v>3</v>
      </c>
      <c r="AR158" s="9">
        <f ca="1"/>
        <v>0.1134432834369572</v>
      </c>
      <c r="AS158" s="9">
        <f ca="1"/>
        <v>0.66156069394876749</v>
      </c>
      <c r="AT158" s="9">
        <f ca="1"/>
        <v>0.75348635118249763</v>
      </c>
      <c r="AU158" s="9">
        <f ca="1"/>
        <v>1.4816829473294435E-2</v>
      </c>
      <c r="AV158" s="9">
        <f ca="1"/>
        <v>0.54580347040285226</v>
      </c>
      <c r="AW158" s="9">
        <f ca="1"/>
        <v>0.17772094119193071</v>
      </c>
      <c r="AX158" s="9">
        <f ca="1"/>
        <v>0.28091626700175643</v>
      </c>
      <c r="AY158" s="9">
        <f ca="1"/>
        <v>0.22120599138302688</v>
      </c>
      <c r="AZ158" s="9">
        <f ca="1"/>
        <v>0.66603113401334157</v>
      </c>
      <c r="BA158" s="9">
        <f ca="1"/>
        <v>0.19003602481270065</v>
      </c>
    </row>
    <row r="159" spans="2:53" ht="24" customHeight="1">
      <c r="B159" t="s">
        <v>90</v>
      </c>
      <c r="H159" s="1">
        <v>4</v>
      </c>
      <c r="I159" s="9">
        <f ca="1"/>
        <v>0.35830652791752771</v>
      </c>
      <c r="J159" s="9">
        <f ca="1"/>
        <v>0.98819186974836026</v>
      </c>
      <c r="K159" s="9">
        <f ca="1"/>
        <v>0.85774316059541378</v>
      </c>
      <c r="L159" s="9">
        <f ca="1"/>
        <v>0.21032155919497164</v>
      </c>
      <c r="M159" s="9">
        <f ca="1"/>
        <v>0.91778015638614363</v>
      </c>
      <c r="N159" s="9">
        <f ca="1"/>
        <v>0.67033095568441436</v>
      </c>
      <c r="O159" s="9">
        <f ca="1"/>
        <v>0.838582656861665</v>
      </c>
      <c r="P159" s="9">
        <f ca="1"/>
        <v>0.459139401387747</v>
      </c>
      <c r="Q159" s="9">
        <f ca="1"/>
        <v>0.94236517310900192</v>
      </c>
      <c r="R159" s="9">
        <f ca="1"/>
        <v>0.63299109781178231</v>
      </c>
      <c r="AI159" s="46">
        <f ca="1"/>
        <v>0.41118016383540801</v>
      </c>
      <c r="AQ159" s="1">
        <v>4</v>
      </c>
      <c r="AR159" s="9">
        <f ca="1"/>
        <v>0.11403101855802888</v>
      </c>
      <c r="AS159" s="9">
        <f ca="1"/>
        <v>0.21104271970558086</v>
      </c>
      <c r="AT159" s="9">
        <f ca="1"/>
        <v>0.46335407336831613</v>
      </c>
      <c r="AU159" s="9">
        <f ca="1"/>
        <v>0.38422131431803419</v>
      </c>
      <c r="AV159" s="9">
        <f ca="1"/>
        <v>0.2120980180811356</v>
      </c>
      <c r="AW159" s="9">
        <f ca="1"/>
        <v>0.31039140703454904</v>
      </c>
      <c r="AX159" s="9">
        <f ca="1"/>
        <v>0.85876263387834872</v>
      </c>
      <c r="AY159" s="9">
        <f ca="1"/>
        <v>0.38901638920219894</v>
      </c>
      <c r="AZ159" s="9">
        <f ca="1"/>
        <v>0.24446518564669484</v>
      </c>
      <c r="BA159" s="9">
        <f ca="1"/>
        <v>0.80725225601289474</v>
      </c>
    </row>
    <row r="160" spans="2:53" ht="24" customHeight="1" thickBot="1">
      <c r="H160" s="1">
        <v>5</v>
      </c>
      <c r="I160" s="9">
        <f ca="1"/>
        <v>0.3514450199446908</v>
      </c>
      <c r="J160" s="9">
        <f ca="1"/>
        <v>0.553147761466243</v>
      </c>
      <c r="K160" s="9">
        <f ca="1"/>
        <v>0.54745793923462327</v>
      </c>
      <c r="L160" s="9">
        <f ca="1"/>
        <v>0.38811381559345248</v>
      </c>
      <c r="M160" s="9">
        <f ca="1"/>
        <v>0.70694563138007838</v>
      </c>
      <c r="N160" s="9">
        <f ca="1"/>
        <v>0.60512059859669076</v>
      </c>
      <c r="O160" s="9">
        <f ca="1"/>
        <v>0.87415282740147426</v>
      </c>
      <c r="P160" s="9">
        <f ca="1"/>
        <v>0.65468889052281276</v>
      </c>
      <c r="Q160" s="9">
        <f ca="1"/>
        <v>0.68619143808329008</v>
      </c>
      <c r="R160" s="9">
        <f ca="1"/>
        <v>0.93910521527491997</v>
      </c>
      <c r="AI160" s="47">
        <f ca="1"/>
        <v>0.78257741479738963</v>
      </c>
      <c r="AQ160" s="1">
        <v>5</v>
      </c>
      <c r="AR160" s="9">
        <f ca="1"/>
        <v>0.28329048254722733</v>
      </c>
      <c r="AS160" s="9">
        <f ca="1"/>
        <v>0.74715330101756328</v>
      </c>
      <c r="AT160" s="9">
        <f ca="1"/>
        <v>0.79844991647088914</v>
      </c>
      <c r="AU160" s="9">
        <f ca="1"/>
        <v>0.66679886475413963</v>
      </c>
      <c r="AV160" s="9">
        <f ca="1"/>
        <v>0.93250494546587626</v>
      </c>
      <c r="AW160" s="9">
        <f ca="1"/>
        <v>0.32307082950593258</v>
      </c>
      <c r="AX160" s="9">
        <f ca="1"/>
        <v>0.55133750554237815</v>
      </c>
      <c r="AY160" s="9">
        <f ca="1"/>
        <v>0.6671116466050111</v>
      </c>
      <c r="AZ160" s="9">
        <f ca="1"/>
        <v>0.2198784189735874</v>
      </c>
      <c r="BA160" s="9">
        <f ca="1"/>
        <v>2.5935854104309097E-2</v>
      </c>
    </row>
    <row r="161" spans="23:59" ht="24" customHeight="1" thickBot="1"/>
    <row r="162" spans="23:59" ht="24" customHeight="1" thickBot="1">
      <c r="AG162" s="11" t="s">
        <v>91</v>
      </c>
      <c r="AI162" s="48">
        <f ca="1">AVERAGE(_xlfn.ANCHORARRAY(AI156))</f>
        <v>0.68367927491992431</v>
      </c>
    </row>
    <row r="163" spans="23:59" ht="24" customHeight="1" thickBot="1"/>
    <row r="164" spans="23:59" ht="24" customHeight="1" thickBot="1">
      <c r="AG164" s="11" t="s">
        <v>92</v>
      </c>
      <c r="AI164" s="48">
        <f ca="1">_xlfn.STDEV.P(_xlfn.ANCHORARRAY(AI156))</f>
        <v>0.20277032420266358</v>
      </c>
      <c r="AK164" t="s">
        <v>93</v>
      </c>
      <c r="AL164" s="1" t="s">
        <v>94</v>
      </c>
      <c r="AO164" t="s">
        <v>44</v>
      </c>
      <c r="AR164" s="21" cm="1">
        <f t="array" aca="1" ref="AR164:BA168" ca="1">LN(_xlfn.ANCHORARRAY(I156))-LN(_xlfn.ANCHORARRAY(AR156))</f>
        <v>-0.17897348749855846</v>
      </c>
      <c r="AS164" s="21">
        <f ca="1"/>
        <v>0.16955692023449642</v>
      </c>
      <c r="AT164" s="21">
        <f ca="1"/>
        <v>0.97948305491952103</v>
      </c>
      <c r="AU164" s="21">
        <f ca="1"/>
        <v>0.59498732977687241</v>
      </c>
      <c r="AV164" s="21">
        <f ca="1"/>
        <v>-0.15202057715060319</v>
      </c>
      <c r="AW164" s="21">
        <f ca="1"/>
        <v>-1.7291309453344306</v>
      </c>
      <c r="AX164" s="21">
        <f ca="1"/>
        <v>2.7244905401106383</v>
      </c>
      <c r="AY164" s="21">
        <f ca="1"/>
        <v>2.8576003209013501</v>
      </c>
      <c r="AZ164" s="21">
        <f ca="1"/>
        <v>-0.13881086121978681</v>
      </c>
      <c r="BA164" s="21">
        <f ca="1"/>
        <v>0.39880374357780857</v>
      </c>
      <c r="BD164" s="21">
        <v>1</v>
      </c>
      <c r="BE164" s="64" t="s">
        <v>45</v>
      </c>
      <c r="BG164" t="s">
        <v>46</v>
      </c>
    </row>
    <row r="165" spans="23:59" ht="24" customHeight="1" thickBot="1">
      <c r="W165" s="18"/>
      <c r="AD165" t="s">
        <v>95</v>
      </c>
      <c r="AK165" t="s">
        <v>96</v>
      </c>
      <c r="AL165" t="s">
        <v>97</v>
      </c>
      <c r="AR165" s="21">
        <f ca="1"/>
        <v>1.3231877448586162</v>
      </c>
      <c r="AS165" s="21">
        <f ca="1"/>
        <v>1.427579773453894</v>
      </c>
      <c r="AT165" s="21">
        <f ca="1"/>
        <v>-1.0626550154842906</v>
      </c>
      <c r="AU165" s="21">
        <f ca="1"/>
        <v>0.89004215712019641</v>
      </c>
      <c r="AV165" s="21">
        <f ca="1"/>
        <v>-0.40613838224934329</v>
      </c>
      <c r="AW165" s="21">
        <f ca="1"/>
        <v>0.18265118405881858</v>
      </c>
      <c r="AX165" s="21">
        <f ca="1"/>
        <v>1.7498939119947003</v>
      </c>
      <c r="AY165" s="21">
        <f ca="1"/>
        <v>0.9505711297924675</v>
      </c>
      <c r="AZ165" s="21">
        <f ca="1"/>
        <v>2.1236174301963997</v>
      </c>
      <c r="BA165" s="21">
        <f ca="1"/>
        <v>2.3876997637949913</v>
      </c>
      <c r="BD165" s="21">
        <v>0</v>
      </c>
      <c r="BE165" s="64" t="s">
        <v>48</v>
      </c>
    </row>
    <row r="166" spans="23:59" ht="24" customHeight="1">
      <c r="AI166" s="45" cm="1">
        <f t="array" aca="1" ref="AI166:AI170" ca="1">(_xlfn.ANCHORARRAY(AI156)-AI162)/AI164</f>
        <v>0.13379467929030148</v>
      </c>
      <c r="AK166" s="1" t="str" cm="1">
        <f t="array" aca="1" ref="AK166:AK170" ca="1">IF(_xlfn.ANCHORARRAY(AI166)&gt;AI162, "yes","")</f>
        <v/>
      </c>
      <c r="AL166" s="1" t="str" cm="1">
        <f t="array" aca="1" ref="AL166:AL170" ca="1">IF(_xlfn.ANCHORARRAY(AI166)&lt;AI162, "yes","")</f>
        <v>yes</v>
      </c>
      <c r="AR166" s="21">
        <f ca="1"/>
        <v>1.3772512249706654</v>
      </c>
      <c r="AS166" s="21">
        <f ca="1"/>
        <v>-0.24760684851172299</v>
      </c>
      <c r="AT166" s="21">
        <f ca="1"/>
        <v>-0.20934080797775861</v>
      </c>
      <c r="AU166" s="21">
        <f ca="1"/>
        <v>0.53763132643396405</v>
      </c>
      <c r="AV166" s="21">
        <f ca="1"/>
        <v>-1.181868805631463</v>
      </c>
      <c r="AW166" s="21">
        <f ca="1"/>
        <v>-0.4852323077918379</v>
      </c>
      <c r="AX166" s="21">
        <f ca="1"/>
        <v>-1.5912659004368654</v>
      </c>
      <c r="AY166" s="21">
        <f ca="1"/>
        <v>-0.33403982390268228</v>
      </c>
      <c r="AZ166" s="21">
        <f ca="1"/>
        <v>-8.2859967322291228E-2</v>
      </c>
      <c r="BA166" s="21">
        <f ca="1"/>
        <v>1.2533630820723012</v>
      </c>
      <c r="BD166" s="21">
        <v>-1</v>
      </c>
      <c r="BE166" s="64" t="s">
        <v>49</v>
      </c>
      <c r="BG166" t="s">
        <v>50</v>
      </c>
    </row>
    <row r="167" spans="23:59" ht="24" customHeight="1">
      <c r="AI167" s="46">
        <f ca="1"/>
        <v>1.5181766674817578</v>
      </c>
      <c r="AK167" s="1" t="str">
        <f ca="1"/>
        <v>yes</v>
      </c>
      <c r="AL167" s="1" t="str">
        <f ca="1"/>
        <v/>
      </c>
      <c r="AR167" s="21">
        <f ca="1"/>
        <v>1.144918339285707</v>
      </c>
      <c r="AS167" s="21">
        <f ca="1"/>
        <v>1.5438163030008096</v>
      </c>
      <c r="AT167" s="21">
        <f ca="1"/>
        <v>0.6158132089291859</v>
      </c>
      <c r="AU167" s="21">
        <f ca="1"/>
        <v>-0.60258113210242492</v>
      </c>
      <c r="AV167" s="21">
        <f ca="1"/>
        <v>1.4649093636187136</v>
      </c>
      <c r="AW167" s="21">
        <f ca="1"/>
        <v>0.76993744973002909</v>
      </c>
      <c r="AX167" s="21">
        <f ca="1"/>
        <v>-2.3779401907078473E-2</v>
      </c>
      <c r="AY167" s="21">
        <f ca="1"/>
        <v>0.165732396321986</v>
      </c>
      <c r="AZ167" s="21">
        <f ca="1"/>
        <v>1.3493199479015117</v>
      </c>
      <c r="BA167" s="21">
        <f ca="1"/>
        <v>-0.24317984576693774</v>
      </c>
    </row>
    <row r="168" spans="23:59" ht="24" customHeight="1">
      <c r="AI168" s="46">
        <f ca="1"/>
        <v>-0.7958254985583848</v>
      </c>
      <c r="AK168" s="1" t="str">
        <f ca="1"/>
        <v/>
      </c>
      <c r="AL168" s="1" t="str">
        <f ca="1"/>
        <v>yes</v>
      </c>
      <c r="AR168" s="21">
        <f ca="1"/>
        <v>0.21558047218644028</v>
      </c>
      <c r="AS168" s="21">
        <f ca="1"/>
        <v>-0.30064522073438488</v>
      </c>
      <c r="AT168" s="21">
        <f ca="1"/>
        <v>-0.37738660824895498</v>
      </c>
      <c r="AU168" s="21">
        <f ca="1"/>
        <v>-0.5411898125807677</v>
      </c>
      <c r="AV168" s="21">
        <f ca="1"/>
        <v>-0.27692069246549272</v>
      </c>
      <c r="AW168" s="21">
        <f ca="1"/>
        <v>0.62755618911042699</v>
      </c>
      <c r="AX168" s="21">
        <f ca="1"/>
        <v>0.46090806572035037</v>
      </c>
      <c r="AY168" s="21">
        <f ca="1"/>
        <v>-1.8797271625295819E-2</v>
      </c>
      <c r="AZ168" s="21">
        <f ca="1"/>
        <v>1.1380819004951774</v>
      </c>
      <c r="BA168" s="21">
        <f ca="1"/>
        <v>3.5893011835190416</v>
      </c>
    </row>
    <row r="169" spans="23:59" ht="24" customHeight="1">
      <c r="AI169" s="46">
        <f ca="1"/>
        <v>-1.343880630245285</v>
      </c>
      <c r="AK169" s="1" t="str">
        <f ca="1"/>
        <v/>
      </c>
      <c r="AL169" s="1" t="str">
        <f ca="1"/>
        <v>yes</v>
      </c>
    </row>
    <row r="170" spans="23:59" ht="24" customHeight="1" thickBot="1">
      <c r="AI170" s="47">
        <f ca="1"/>
        <v>0.48773478203161147</v>
      </c>
      <c r="AK170" s="1" t="str">
        <f ca="1"/>
        <v/>
      </c>
      <c r="AL170" s="1" t="str">
        <f ca="1"/>
        <v>yes</v>
      </c>
      <c r="AQ170" t="s">
        <v>53</v>
      </c>
    </row>
    <row r="171" spans="23:59" ht="24" customHeight="1">
      <c r="W171" s="18" t="s">
        <v>98</v>
      </c>
      <c r="Z171" t="s">
        <v>99</v>
      </c>
    </row>
    <row r="172" spans="23:59" ht="24" customHeight="1" thickBot="1">
      <c r="AQ172" s="36" t="s">
        <v>7</v>
      </c>
    </row>
    <row r="173" spans="23:59" ht="24" customHeight="1">
      <c r="X173" s="2" t="s">
        <v>100</v>
      </c>
      <c r="Z173" s="59" cm="1">
        <f t="array" aca="1" ref="Z173:AI177" ca="1">_xlfn.ANCHORARRAY(AI166)*_xlfn.SEQUENCE(1,10,1,0)</f>
        <v>0.13379467929030148</v>
      </c>
      <c r="AA173" s="60">
        <f ca="1"/>
        <v>0.13379467929030148</v>
      </c>
      <c r="AB173" s="60">
        <f ca="1"/>
        <v>0.13379467929030148</v>
      </c>
      <c r="AC173" s="60">
        <f ca="1"/>
        <v>0.13379467929030148</v>
      </c>
      <c r="AD173" s="60">
        <f ca="1"/>
        <v>0.13379467929030148</v>
      </c>
      <c r="AE173" s="60">
        <f ca="1"/>
        <v>0.13379467929030148</v>
      </c>
      <c r="AF173" s="60">
        <f ca="1"/>
        <v>0.13379467929030148</v>
      </c>
      <c r="AG173" s="60">
        <f ca="1"/>
        <v>0.13379467929030148</v>
      </c>
      <c r="AH173" s="60">
        <f ca="1"/>
        <v>0.13379467929030148</v>
      </c>
      <c r="AI173" s="61">
        <f ca="1"/>
        <v>0.13379467929030148</v>
      </c>
      <c r="AK173" s="1"/>
    </row>
    <row r="174" spans="23:59" ht="24" customHeight="1">
      <c r="Z174" s="59">
        <f ca="1"/>
        <v>1.5181766674817578</v>
      </c>
      <c r="AA174" s="60">
        <f ca="1"/>
        <v>1.5181766674817578</v>
      </c>
      <c r="AB174" s="60">
        <f ca="1"/>
        <v>1.5181766674817578</v>
      </c>
      <c r="AC174" s="60">
        <f ca="1"/>
        <v>1.5181766674817578</v>
      </c>
      <c r="AD174" s="60">
        <f ca="1"/>
        <v>1.5181766674817578</v>
      </c>
      <c r="AE174" s="60">
        <f ca="1"/>
        <v>1.5181766674817578</v>
      </c>
      <c r="AF174" s="60">
        <f ca="1"/>
        <v>1.5181766674817578</v>
      </c>
      <c r="AG174" s="60">
        <f ca="1"/>
        <v>1.5181766674817578</v>
      </c>
      <c r="AH174" s="60">
        <f ca="1"/>
        <v>1.5181766674817578</v>
      </c>
      <c r="AI174" s="62">
        <f ca="1"/>
        <v>1.5181766674817578</v>
      </c>
      <c r="AK174" s="1"/>
    </row>
    <row r="175" spans="23:59" ht="24" customHeight="1">
      <c r="Z175" s="59">
        <f ca="1"/>
        <v>-0.7958254985583848</v>
      </c>
      <c r="AA175" s="60">
        <f ca="1"/>
        <v>-0.7958254985583848</v>
      </c>
      <c r="AB175" s="60">
        <f ca="1"/>
        <v>-0.7958254985583848</v>
      </c>
      <c r="AC175" s="60">
        <f ca="1"/>
        <v>-0.7958254985583848</v>
      </c>
      <c r="AD175" s="60">
        <f ca="1"/>
        <v>-0.7958254985583848</v>
      </c>
      <c r="AE175" s="60">
        <f ca="1"/>
        <v>-0.7958254985583848</v>
      </c>
      <c r="AF175" s="60">
        <f ca="1"/>
        <v>-0.7958254985583848</v>
      </c>
      <c r="AG175" s="60">
        <f ca="1"/>
        <v>-0.7958254985583848</v>
      </c>
      <c r="AH175" s="60">
        <f ca="1"/>
        <v>-0.7958254985583848</v>
      </c>
      <c r="AI175" s="62">
        <f ca="1"/>
        <v>-0.7958254985583848</v>
      </c>
      <c r="AK175" s="1"/>
    </row>
    <row r="176" spans="23:59" ht="24" customHeight="1">
      <c r="Z176" s="59">
        <f ca="1"/>
        <v>-1.343880630245285</v>
      </c>
      <c r="AA176" s="60">
        <f ca="1"/>
        <v>-1.343880630245285</v>
      </c>
      <c r="AB176" s="60">
        <f ca="1"/>
        <v>-1.343880630245285</v>
      </c>
      <c r="AC176" s="60">
        <f ca="1"/>
        <v>-1.343880630245285</v>
      </c>
      <c r="AD176" s="60">
        <f ca="1"/>
        <v>-1.343880630245285</v>
      </c>
      <c r="AE176" s="60">
        <f ca="1"/>
        <v>-1.343880630245285</v>
      </c>
      <c r="AF176" s="60">
        <f ca="1"/>
        <v>-1.343880630245285</v>
      </c>
      <c r="AG176" s="60">
        <f ca="1"/>
        <v>-1.343880630245285</v>
      </c>
      <c r="AH176" s="60">
        <f ca="1"/>
        <v>-1.343880630245285</v>
      </c>
      <c r="AI176" s="62">
        <f ca="1"/>
        <v>-1.343880630245285</v>
      </c>
      <c r="AK176" s="1"/>
    </row>
    <row r="177" spans="23:56" ht="24" customHeight="1" thickBot="1">
      <c r="Z177" s="59">
        <f ca="1"/>
        <v>0.48773478203161147</v>
      </c>
      <c r="AA177" s="60">
        <f ca="1"/>
        <v>0.48773478203161147</v>
      </c>
      <c r="AB177" s="60">
        <f ca="1"/>
        <v>0.48773478203161147</v>
      </c>
      <c r="AC177" s="60">
        <f ca="1"/>
        <v>0.48773478203161147</v>
      </c>
      <c r="AD177" s="60">
        <f ca="1"/>
        <v>0.48773478203161147</v>
      </c>
      <c r="AE177" s="60">
        <f ca="1"/>
        <v>0.48773478203161147</v>
      </c>
      <c r="AF177" s="60">
        <f ca="1"/>
        <v>0.48773478203161147</v>
      </c>
      <c r="AG177" s="60">
        <f ca="1"/>
        <v>0.48773478203161147</v>
      </c>
      <c r="AH177" s="60">
        <f ca="1"/>
        <v>0.48773478203161147</v>
      </c>
      <c r="AI177" s="63">
        <f ca="1"/>
        <v>0.48773478203161147</v>
      </c>
      <c r="AK177" s="1"/>
    </row>
    <row r="179" spans="23:56" ht="24" customHeight="1">
      <c r="W179" s="18" t="s">
        <v>54</v>
      </c>
      <c r="AP179" s="18" t="s">
        <v>101</v>
      </c>
    </row>
    <row r="180" spans="23:56" ht="24" customHeight="1">
      <c r="X180" s="2" t="s">
        <v>56</v>
      </c>
      <c r="AQ180" s="65" t="s">
        <v>102</v>
      </c>
    </row>
    <row r="181" spans="23:56" ht="24" customHeight="1">
      <c r="Z181" s="33" cm="1">
        <f t="array" aca="1" ref="Z181:AI185" ca="1">_xlfn.ANCHORARRAY(Z173)*_xlfn.ANCHORARRAY(AR181)</f>
        <v>0.11186948656316231</v>
      </c>
      <c r="AA181" s="34">
        <f ca="1"/>
        <v>0.15851723110373675</v>
      </c>
      <c r="AB181" s="34">
        <f ca="1"/>
        <v>0.35630583020951251</v>
      </c>
      <c r="AC181" s="34">
        <f ca="1"/>
        <v>0.24257082037844735</v>
      </c>
      <c r="AD181" s="34">
        <f ca="1"/>
        <v>0.11492569666818651</v>
      </c>
      <c r="AE181" s="34">
        <f ca="1"/>
        <v>2.3740333460227591E-2</v>
      </c>
      <c r="AF181" s="34">
        <f ca="1"/>
        <v>2.0401873500329373</v>
      </c>
      <c r="AG181" s="34">
        <f ca="1"/>
        <v>2.3306598448066422</v>
      </c>
      <c r="AH181" s="34">
        <f ca="1"/>
        <v>0.11645390384347785</v>
      </c>
      <c r="AI181" s="35">
        <f ca="1"/>
        <v>0.1993595790998321</v>
      </c>
      <c r="AM181" s="18"/>
      <c r="AR181" s="33" cm="1">
        <f t="array" aca="1" ref="AR181:BA185" ca="1">EXP(_xlfn.ANCHORARRAY(AR164))</f>
        <v>0.83612806694975594</v>
      </c>
      <c r="AS181" s="34">
        <f ca="1"/>
        <v>1.1847797830569438</v>
      </c>
      <c r="AT181" s="34">
        <f ca="1"/>
        <v>2.663079220335935</v>
      </c>
      <c r="AU181" s="34">
        <f ca="1"/>
        <v>1.8130079735990732</v>
      </c>
      <c r="AV181" s="34">
        <f ca="1"/>
        <v>0.85897060539175907</v>
      </c>
      <c r="AW181" s="34">
        <f ca="1"/>
        <v>0.17743854678045096</v>
      </c>
      <c r="AX181" s="34">
        <f ca="1"/>
        <v>15.24864337546812</v>
      </c>
      <c r="AY181" s="34">
        <f ca="1"/>
        <v>17.419675110918909</v>
      </c>
      <c r="AZ181" s="34">
        <f ca="1"/>
        <v>0.87039263789258459</v>
      </c>
      <c r="BA181" s="35">
        <f ca="1"/>
        <v>1.490041159762945</v>
      </c>
      <c r="BC181" s="21">
        <v>1</v>
      </c>
      <c r="BD181" t="s">
        <v>58</v>
      </c>
    </row>
    <row r="182" spans="23:56" ht="24" customHeight="1">
      <c r="Z182" s="33">
        <f ca="1"/>
        <v>5.7013204094853851</v>
      </c>
      <c r="AA182" s="34">
        <f ca="1"/>
        <v>6.3286682526579092</v>
      </c>
      <c r="AB182" s="34">
        <f ca="1"/>
        <v>0.52458649172757632</v>
      </c>
      <c r="AC182" s="34">
        <f ca="1"/>
        <v>3.6971128752278868</v>
      </c>
      <c r="AD182" s="34">
        <f ca="1"/>
        <v>1.0114365749372447</v>
      </c>
      <c r="AE182" s="34">
        <f ca="1"/>
        <v>1.8224126188696661</v>
      </c>
      <c r="AF182" s="34">
        <f ca="1"/>
        <v>8.7355767242704339</v>
      </c>
      <c r="AG182" s="34">
        <f ca="1"/>
        <v>3.9278067206105116</v>
      </c>
      <c r="AH182" s="34">
        <f ca="1"/>
        <v>12.693975161090815</v>
      </c>
      <c r="AI182" s="35">
        <f ca="1"/>
        <v>16.530543943541819</v>
      </c>
      <c r="AR182" s="33">
        <f ca="1"/>
        <v>3.7553734895309154</v>
      </c>
      <c r="AS182" s="34">
        <f ca="1"/>
        <v>4.168598021701551</v>
      </c>
      <c r="AT182" s="34">
        <f ca="1"/>
        <v>0.34553718481112128</v>
      </c>
      <c r="AU182" s="34">
        <f ca="1"/>
        <v>2.4352323115071921</v>
      </c>
      <c r="AV182" s="34">
        <f ca="1"/>
        <v>0.66621796830466573</v>
      </c>
      <c r="AW182" s="34">
        <f ca="1"/>
        <v>1.2003956179174806</v>
      </c>
      <c r="AX182" s="34">
        <f ca="1"/>
        <v>5.7539922140684583</v>
      </c>
      <c r="AY182" s="34">
        <f ca="1"/>
        <v>2.5871868569325827</v>
      </c>
      <c r="AZ182" s="34">
        <f ca="1"/>
        <v>8.3613293715985417</v>
      </c>
      <c r="BA182" s="35">
        <f ca="1"/>
        <v>10.888419179146979</v>
      </c>
      <c r="BC182" s="21">
        <v>0</v>
      </c>
      <c r="BD182" t="s">
        <v>103</v>
      </c>
    </row>
    <row r="183" spans="23:56" ht="24" customHeight="1">
      <c r="Z183" s="33">
        <f ca="1"/>
        <v>-3.1546447319527635</v>
      </c>
      <c r="AA183" s="34">
        <f ca="1"/>
        <v>-0.62127454791905834</v>
      </c>
      <c r="AB183" s="34">
        <f ca="1"/>
        <v>-0.64550898582951199</v>
      </c>
      <c r="AC183" s="34">
        <f ca="1"/>
        <v>-1.362411084504803</v>
      </c>
      <c r="AD183" s="34">
        <f ca="1"/>
        <v>-0.24408368389186019</v>
      </c>
      <c r="AE183" s="34">
        <f ca="1"/>
        <v>-0.48987371387567824</v>
      </c>
      <c r="AF183" s="34">
        <f ca="1"/>
        <v>-0.16208388963565326</v>
      </c>
      <c r="AG183" s="34">
        <f ca="1"/>
        <v>-0.56983116488286367</v>
      </c>
      <c r="AH183" s="34">
        <f ca="1"/>
        <v>-0.73254148314873224</v>
      </c>
      <c r="AI183" s="35">
        <f ca="1"/>
        <v>-2.7870612965175292</v>
      </c>
      <c r="AR183" s="33">
        <f ca="1"/>
        <v>3.9639905201169259</v>
      </c>
      <c r="AS183" s="34">
        <f ca="1"/>
        <v>0.78066680326840421</v>
      </c>
      <c r="AT183" s="34">
        <f ca="1"/>
        <v>0.81111875279044598</v>
      </c>
      <c r="AU183" s="34">
        <f ca="1"/>
        <v>1.7119470122191005</v>
      </c>
      <c r="AV183" s="34">
        <f ca="1"/>
        <v>0.30670503060534104</v>
      </c>
      <c r="AW183" s="34">
        <f ca="1"/>
        <v>0.61555418212041524</v>
      </c>
      <c r="AX183" s="34">
        <f ca="1"/>
        <v>0.20366762554010095</v>
      </c>
      <c r="AY183" s="34">
        <f ca="1"/>
        <v>0.71602526673887257</v>
      </c>
      <c r="AZ183" s="34">
        <f ca="1"/>
        <v>0.92048003547977575</v>
      </c>
      <c r="BA183" s="35">
        <f ca="1"/>
        <v>3.5021010278838909</v>
      </c>
    </row>
    <row r="184" spans="23:56" ht="24" customHeight="1">
      <c r="Z184" s="33">
        <f ca="1"/>
        <v>-4.2227212266263079</v>
      </c>
      <c r="AA184" s="34">
        <f ca="1"/>
        <v>-6.2926212975901805</v>
      </c>
      <c r="AB184" s="34">
        <f ca="1"/>
        <v>-2.4877399066982466</v>
      </c>
      <c r="AC184" s="34">
        <f ca="1"/>
        <v>-0.73563610084148545</v>
      </c>
      <c r="AD184" s="34">
        <f ca="1"/>
        <v>-5.8151744469342912</v>
      </c>
      <c r="AE184" s="34">
        <f ca="1"/>
        <v>-2.9022864898377283</v>
      </c>
      <c r="AF184" s="34">
        <f ca="1"/>
        <v>-1.3123009140796675</v>
      </c>
      <c r="AG184" s="34">
        <f ca="1"/>
        <v>-1.5861248143627584</v>
      </c>
      <c r="AH184" s="34">
        <f ca="1"/>
        <v>-5.1803953164488341</v>
      </c>
      <c r="AI184" s="35">
        <f ca="1"/>
        <v>-1.0537777616980295</v>
      </c>
      <c r="AR184" s="33">
        <f ca="1"/>
        <v>3.1421847533106995</v>
      </c>
      <c r="AS184" s="34">
        <f ca="1"/>
        <v>4.6824257720283171</v>
      </c>
      <c r="AT184" s="34">
        <f ca="1"/>
        <v>1.851161368583893</v>
      </c>
      <c r="AU184" s="34">
        <f ca="1"/>
        <v>0.54739690734824953</v>
      </c>
      <c r="AV184" s="34">
        <f ca="1"/>
        <v>4.3271510252163585</v>
      </c>
      <c r="AW184" s="34">
        <f ca="1"/>
        <v>2.1596311640476604</v>
      </c>
      <c r="AX184" s="34">
        <f ca="1"/>
        <v>0.97650110028012416</v>
      </c>
      <c r="AY184" s="34">
        <f ca="1"/>
        <v>1.1802572182867603</v>
      </c>
      <c r="AZ184" s="34">
        <f ca="1"/>
        <v>3.8548031721413443</v>
      </c>
      <c r="BA184" s="35">
        <f ca="1"/>
        <v>0.78413047854234941</v>
      </c>
    </row>
    <row r="185" spans="23:56" ht="24" customHeight="1">
      <c r="Z185" s="33">
        <f ca="1"/>
        <v>0.60507489929614222</v>
      </c>
      <c r="AA185" s="34">
        <f ca="1"/>
        <v>0.36108975561317896</v>
      </c>
      <c r="AB185" s="34">
        <f ca="1"/>
        <v>0.33441581388631697</v>
      </c>
      <c r="AC185" s="34">
        <f ca="1"/>
        <v>0.28388861657964359</v>
      </c>
      <c r="AD185" s="34">
        <f ca="1"/>
        <v>0.36975886841769035</v>
      </c>
      <c r="AE185" s="34">
        <f ca="1"/>
        <v>0.91354073566699268</v>
      </c>
      <c r="AF185" s="34">
        <f ca="1"/>
        <v>0.77330987725122846</v>
      </c>
      <c r="AG185" s="34">
        <f ca="1"/>
        <v>0.47865232895075505</v>
      </c>
      <c r="AH185" s="34">
        <f ca="1"/>
        <v>1.5221113242846924</v>
      </c>
      <c r="AI185" s="35">
        <f ca="1"/>
        <v>17.660273520769181</v>
      </c>
      <c r="AR185" s="33">
        <f ca="1"/>
        <v>1.2405818112371687</v>
      </c>
      <c r="AS185" s="34">
        <f ca="1"/>
        <v>0.74034038357710508</v>
      </c>
      <c r="AT185" s="34">
        <f ca="1"/>
        <v>0.68565094433770057</v>
      </c>
      <c r="AU185" s="34">
        <f ca="1"/>
        <v>0.58205530349329071</v>
      </c>
      <c r="AV185" s="34">
        <f ca="1"/>
        <v>0.75811461892772136</v>
      </c>
      <c r="AW185" s="34">
        <f ca="1"/>
        <v>1.8730276562637755</v>
      </c>
      <c r="AX185" s="34">
        <f ca="1"/>
        <v>1.5855130815770035</v>
      </c>
      <c r="AY185" s="34">
        <f ca="1"/>
        <v>0.98137829530421361</v>
      </c>
      <c r="AZ185" s="34">
        <f ca="1"/>
        <v>3.1207766605130902</v>
      </c>
      <c r="BA185" s="35">
        <f ca="1"/>
        <v>36.208763802341593</v>
      </c>
    </row>
    <row r="187" spans="23:56" ht="24" customHeight="1">
      <c r="W187" s="18" t="s">
        <v>59</v>
      </c>
      <c r="AP187" s="18" t="s">
        <v>60</v>
      </c>
    </row>
    <row r="188" spans="23:56" ht="24" customHeight="1">
      <c r="X188" s="2" t="s">
        <v>61</v>
      </c>
      <c r="AR188" s="3" t="s">
        <v>62</v>
      </c>
    </row>
    <row r="189" spans="23:56" ht="24" customHeight="1">
      <c r="Z189" s="33" cm="1">
        <f t="array" aca="1" ref="Z189:AI193" ca="1">_xlfn.ANCHORARRAY(AR189)*_xlfn.ANCHORARRAY(AI166)</f>
        <v>0.12041521136127133</v>
      </c>
      <c r="AA189" s="34">
        <f ca="1"/>
        <v>0.14717414721933164</v>
      </c>
      <c r="AB189" s="34">
        <f ca="1"/>
        <v>0.14717414721933164</v>
      </c>
      <c r="AC189" s="34">
        <f ca="1"/>
        <v>0.14717414721933164</v>
      </c>
      <c r="AD189" s="34">
        <f ca="1"/>
        <v>0.12041521136127133</v>
      </c>
      <c r="AE189" s="34">
        <f ca="1"/>
        <v>0.12041521136127133</v>
      </c>
      <c r="AF189" s="34">
        <f ca="1"/>
        <v>0.14717414721933164</v>
      </c>
      <c r="AG189" s="34">
        <f ca="1"/>
        <v>0.14717414721933164</v>
      </c>
      <c r="AH189" s="34">
        <f ca="1"/>
        <v>0.12041521136127133</v>
      </c>
      <c r="AI189" s="35">
        <f ca="1"/>
        <v>0.14717414721933164</v>
      </c>
      <c r="AO189" t="s">
        <v>63</v>
      </c>
      <c r="AP189" s="4">
        <v>0.1</v>
      </c>
      <c r="AR189" s="33" cm="1">
        <f t="array" aca="1" ref="AR189:BA193" ca="1">_xlfn.MAP(_xlfn.ANCHORARRAY( AR181), _xlfn.LAMBDA(_xlpm.x, MAX(MIN(_xlpm.x,1+AP189),1-AP189)))</f>
        <v>0.9</v>
      </c>
      <c r="AS189" s="34">
        <f ca="1"/>
        <v>1.1000000000000001</v>
      </c>
      <c r="AT189" s="34">
        <f ca="1"/>
        <v>1.1000000000000001</v>
      </c>
      <c r="AU189" s="34">
        <f ca="1"/>
        <v>1.1000000000000001</v>
      </c>
      <c r="AV189" s="34">
        <f ca="1"/>
        <v>0.9</v>
      </c>
      <c r="AW189" s="34">
        <f ca="1"/>
        <v>0.9</v>
      </c>
      <c r="AX189" s="34">
        <f ca="1"/>
        <v>1.1000000000000001</v>
      </c>
      <c r="AY189" s="34">
        <f ca="1"/>
        <v>1.1000000000000001</v>
      </c>
      <c r="AZ189" s="34">
        <f ca="1"/>
        <v>0.9</v>
      </c>
      <c r="BA189" s="35">
        <f ca="1"/>
        <v>1.1000000000000001</v>
      </c>
      <c r="BC189" s="21">
        <v>1</v>
      </c>
      <c r="BD189" t="s">
        <v>58</v>
      </c>
    </row>
    <row r="190" spans="23:56" ht="24" customHeight="1">
      <c r="Z190" s="33">
        <f ca="1"/>
        <v>1.6699943342299337</v>
      </c>
      <c r="AA190" s="34">
        <f ca="1"/>
        <v>1.6699943342299337</v>
      </c>
      <c r="AB190" s="34">
        <f ca="1"/>
        <v>1.3663590007335822</v>
      </c>
      <c r="AC190" s="34">
        <f ca="1"/>
        <v>1.6699943342299337</v>
      </c>
      <c r="AD190" s="34">
        <f ca="1"/>
        <v>1.3663590007335822</v>
      </c>
      <c r="AE190" s="34">
        <f ca="1"/>
        <v>1.6699943342299337</v>
      </c>
      <c r="AF190" s="34">
        <f ca="1"/>
        <v>1.6699943342299337</v>
      </c>
      <c r="AG190" s="34">
        <f ca="1"/>
        <v>1.6699943342299337</v>
      </c>
      <c r="AH190" s="34">
        <f ca="1"/>
        <v>1.6699943342299337</v>
      </c>
      <c r="AI190" s="35">
        <f ca="1"/>
        <v>1.6699943342299337</v>
      </c>
      <c r="AR190" s="33">
        <f ca="1"/>
        <v>1.1000000000000001</v>
      </c>
      <c r="AS190" s="34">
        <f ca="1"/>
        <v>1.1000000000000001</v>
      </c>
      <c r="AT190" s="34">
        <f ca="1"/>
        <v>0.9</v>
      </c>
      <c r="AU190" s="34">
        <f ca="1"/>
        <v>1.1000000000000001</v>
      </c>
      <c r="AV190" s="34">
        <f ca="1"/>
        <v>0.9</v>
      </c>
      <c r="AW190" s="34">
        <f ca="1"/>
        <v>1.1000000000000001</v>
      </c>
      <c r="AX190" s="34">
        <f ca="1"/>
        <v>1.1000000000000001</v>
      </c>
      <c r="AY190" s="34">
        <f ca="1"/>
        <v>1.1000000000000001</v>
      </c>
      <c r="AZ190" s="34">
        <f ca="1"/>
        <v>1.1000000000000001</v>
      </c>
      <c r="BA190" s="35">
        <f ca="1"/>
        <v>1.1000000000000001</v>
      </c>
      <c r="BC190" s="21">
        <v>0</v>
      </c>
      <c r="BD190" t="s">
        <v>103</v>
      </c>
    </row>
    <row r="191" spans="23:56" ht="24" customHeight="1">
      <c r="Z191" s="33">
        <f ca="1"/>
        <v>-0.87540804841422337</v>
      </c>
      <c r="AA191" s="34">
        <f ca="1"/>
        <v>-0.71624294870254634</v>
      </c>
      <c r="AB191" s="34">
        <f ca="1"/>
        <v>-0.71624294870254634</v>
      </c>
      <c r="AC191" s="34">
        <f ca="1"/>
        <v>-0.87540804841422337</v>
      </c>
      <c r="AD191" s="34">
        <f ca="1"/>
        <v>-0.71624294870254634</v>
      </c>
      <c r="AE191" s="34">
        <f ca="1"/>
        <v>-0.71624294870254634</v>
      </c>
      <c r="AF191" s="34">
        <f ca="1"/>
        <v>-0.71624294870254634</v>
      </c>
      <c r="AG191" s="34">
        <f ca="1"/>
        <v>-0.71624294870254634</v>
      </c>
      <c r="AH191" s="34">
        <f ca="1"/>
        <v>-0.73254148314873224</v>
      </c>
      <c r="AI191" s="35">
        <f ca="1"/>
        <v>-0.87540804841422337</v>
      </c>
      <c r="AR191" s="33">
        <f ca="1"/>
        <v>1.1000000000000001</v>
      </c>
      <c r="AS191" s="34">
        <f ca="1"/>
        <v>0.9</v>
      </c>
      <c r="AT191" s="34">
        <f ca="1"/>
        <v>0.9</v>
      </c>
      <c r="AU191" s="34">
        <f ca="1"/>
        <v>1.1000000000000001</v>
      </c>
      <c r="AV191" s="34">
        <f ca="1"/>
        <v>0.9</v>
      </c>
      <c r="AW191" s="34">
        <f ca="1"/>
        <v>0.9</v>
      </c>
      <c r="AX191" s="34">
        <f ca="1"/>
        <v>0.9</v>
      </c>
      <c r="AY191" s="34">
        <f ca="1"/>
        <v>0.9</v>
      </c>
      <c r="AZ191" s="34">
        <f ca="1"/>
        <v>0.92048003547977575</v>
      </c>
      <c r="BA191" s="35">
        <f ca="1"/>
        <v>1.1000000000000001</v>
      </c>
    </row>
    <row r="192" spans="23:56" ht="24" customHeight="1">
      <c r="Z192" s="33">
        <f ca="1"/>
        <v>-1.4782686932698137</v>
      </c>
      <c r="AA192" s="34">
        <f ca="1"/>
        <v>-1.4782686932698137</v>
      </c>
      <c r="AB192" s="34">
        <f ca="1"/>
        <v>-1.4782686932698137</v>
      </c>
      <c r="AC192" s="34">
        <f ca="1"/>
        <v>-1.2094925672207566</v>
      </c>
      <c r="AD192" s="34">
        <f ca="1"/>
        <v>-1.4782686932698137</v>
      </c>
      <c r="AE192" s="34">
        <f ca="1"/>
        <v>-1.4782686932698137</v>
      </c>
      <c r="AF192" s="34">
        <f ca="1"/>
        <v>-1.3123009140796675</v>
      </c>
      <c r="AG192" s="34">
        <f ca="1"/>
        <v>-1.4782686932698137</v>
      </c>
      <c r="AH192" s="34">
        <f ca="1"/>
        <v>-1.4782686932698137</v>
      </c>
      <c r="AI192" s="35">
        <f ca="1"/>
        <v>-1.2094925672207566</v>
      </c>
      <c r="AR192" s="33">
        <f ca="1"/>
        <v>1.1000000000000001</v>
      </c>
      <c r="AS192" s="34">
        <f ca="1"/>
        <v>1.1000000000000001</v>
      </c>
      <c r="AT192" s="34">
        <f ca="1"/>
        <v>1.1000000000000001</v>
      </c>
      <c r="AU192" s="34">
        <f ca="1"/>
        <v>0.9</v>
      </c>
      <c r="AV192" s="34">
        <f ca="1"/>
        <v>1.1000000000000001</v>
      </c>
      <c r="AW192" s="34">
        <f ca="1"/>
        <v>1.1000000000000001</v>
      </c>
      <c r="AX192" s="34">
        <f ca="1"/>
        <v>0.97650110028012416</v>
      </c>
      <c r="AY192" s="34">
        <f ca="1"/>
        <v>1.1000000000000001</v>
      </c>
      <c r="AZ192" s="34">
        <f ca="1"/>
        <v>1.1000000000000001</v>
      </c>
      <c r="BA192" s="35">
        <f ca="1"/>
        <v>0.9</v>
      </c>
    </row>
    <row r="193" spans="23:53" ht="24" customHeight="1">
      <c r="Z193" s="33">
        <f ca="1"/>
        <v>0.5365082602347726</v>
      </c>
      <c r="AA193" s="34">
        <f ca="1"/>
        <v>0.43896130382845033</v>
      </c>
      <c r="AB193" s="34">
        <f ca="1"/>
        <v>0.43896130382845033</v>
      </c>
      <c r="AC193" s="34">
        <f ca="1"/>
        <v>0.43896130382845033</v>
      </c>
      <c r="AD193" s="34">
        <f ca="1"/>
        <v>0.43896130382845033</v>
      </c>
      <c r="AE193" s="34">
        <f ca="1"/>
        <v>0.5365082602347726</v>
      </c>
      <c r="AF193" s="34">
        <f ca="1"/>
        <v>0.5365082602347726</v>
      </c>
      <c r="AG193" s="34">
        <f ca="1"/>
        <v>0.47865232895075505</v>
      </c>
      <c r="AH193" s="34">
        <f ca="1"/>
        <v>0.5365082602347726</v>
      </c>
      <c r="AI193" s="35">
        <f ca="1"/>
        <v>0.5365082602347726</v>
      </c>
      <c r="AR193" s="33">
        <f ca="1"/>
        <v>1.1000000000000001</v>
      </c>
      <c r="AS193" s="34">
        <f ca="1"/>
        <v>0.9</v>
      </c>
      <c r="AT193" s="34">
        <f ca="1"/>
        <v>0.9</v>
      </c>
      <c r="AU193" s="34">
        <f ca="1"/>
        <v>0.9</v>
      </c>
      <c r="AV193" s="34">
        <f ca="1"/>
        <v>0.9</v>
      </c>
      <c r="AW193" s="34">
        <f ca="1"/>
        <v>1.1000000000000001</v>
      </c>
      <c r="AX193" s="34">
        <f ca="1"/>
        <v>1.1000000000000001</v>
      </c>
      <c r="AY193" s="34">
        <f ca="1"/>
        <v>0.98137829530421361</v>
      </c>
      <c r="AZ193" s="34">
        <f ca="1"/>
        <v>1.1000000000000001</v>
      </c>
      <c r="BA193" s="35">
        <f ca="1"/>
        <v>1.1000000000000001</v>
      </c>
    </row>
    <row r="196" spans="23:53" ht="24" customHeight="1">
      <c r="W196" s="18" t="s">
        <v>64</v>
      </c>
    </row>
    <row r="197" spans="23:53" ht="24" customHeight="1">
      <c r="Z197" s="2" t="s">
        <v>65</v>
      </c>
    </row>
    <row r="198" spans="23:53" ht="24" customHeight="1">
      <c r="Z198" s="33" cm="1">
        <f t="array" aca="1" ref="Z198:AI202" ca="1">_xlfn.MAP(_xlfn.ANCHORARRAY(Z189),_xlfn.ANCHORARRAY( Z181), _xlfn.LAMBDA(_xlpm.a,_xlpm.b,MIN(_xlpm.a,_xlpm.b)))</f>
        <v>0.11186948656316231</v>
      </c>
      <c r="AA198" s="34">
        <f ca="1"/>
        <v>0.14717414721933164</v>
      </c>
      <c r="AB198" s="34">
        <f ca="1"/>
        <v>0.14717414721933164</v>
      </c>
      <c r="AC198" s="34">
        <f ca="1"/>
        <v>0.14717414721933164</v>
      </c>
      <c r="AD198" s="34">
        <f ca="1"/>
        <v>0.11492569666818651</v>
      </c>
      <c r="AE198" s="34">
        <f ca="1"/>
        <v>2.3740333460227591E-2</v>
      </c>
      <c r="AF198" s="34">
        <f ca="1"/>
        <v>0.14717414721933164</v>
      </c>
      <c r="AG198" s="34">
        <f ca="1"/>
        <v>0.14717414721933164</v>
      </c>
      <c r="AH198" s="34">
        <f ca="1"/>
        <v>0.11645390384347785</v>
      </c>
      <c r="AI198" s="35">
        <f ca="1"/>
        <v>0.14717414721933164</v>
      </c>
    </row>
    <row r="199" spans="23:53" ht="24" customHeight="1">
      <c r="Z199" s="33">
        <f ca="1"/>
        <v>1.6699943342299337</v>
      </c>
      <c r="AA199" s="34">
        <f ca="1"/>
        <v>1.6699943342299337</v>
      </c>
      <c r="AB199" s="34">
        <f ca="1"/>
        <v>0.52458649172757632</v>
      </c>
      <c r="AC199" s="34">
        <f ca="1"/>
        <v>1.6699943342299337</v>
      </c>
      <c r="AD199" s="34">
        <f ca="1"/>
        <v>1.0114365749372447</v>
      </c>
      <c r="AE199" s="34">
        <f ca="1"/>
        <v>1.6699943342299337</v>
      </c>
      <c r="AF199" s="34">
        <f ca="1"/>
        <v>1.6699943342299337</v>
      </c>
      <c r="AG199" s="34">
        <f ca="1"/>
        <v>1.6699943342299337</v>
      </c>
      <c r="AH199" s="34">
        <f ca="1"/>
        <v>1.6699943342299337</v>
      </c>
      <c r="AI199" s="35">
        <f ca="1"/>
        <v>1.6699943342299337</v>
      </c>
    </row>
    <row r="200" spans="23:53" ht="24" customHeight="1">
      <c r="Z200" s="33">
        <f ca="1"/>
        <v>-3.1546447319527635</v>
      </c>
      <c r="AA200" s="34">
        <f ca="1"/>
        <v>-0.71624294870254634</v>
      </c>
      <c r="AB200" s="34">
        <f ca="1"/>
        <v>-0.71624294870254634</v>
      </c>
      <c r="AC200" s="34">
        <f ca="1"/>
        <v>-1.362411084504803</v>
      </c>
      <c r="AD200" s="34">
        <f ca="1"/>
        <v>-0.71624294870254634</v>
      </c>
      <c r="AE200" s="34">
        <f ca="1"/>
        <v>-0.71624294870254634</v>
      </c>
      <c r="AF200" s="34">
        <f ca="1"/>
        <v>-0.71624294870254634</v>
      </c>
      <c r="AG200" s="34">
        <f ca="1"/>
        <v>-0.71624294870254634</v>
      </c>
      <c r="AH200" s="34">
        <f ca="1"/>
        <v>-0.73254148314873224</v>
      </c>
      <c r="AI200" s="35">
        <f ca="1"/>
        <v>-2.7870612965175292</v>
      </c>
    </row>
    <row r="201" spans="23:53" ht="24" customHeight="1">
      <c r="Z201" s="33">
        <f ca="1"/>
        <v>-4.2227212266263079</v>
      </c>
      <c r="AA201" s="34">
        <f ca="1"/>
        <v>-6.2926212975901805</v>
      </c>
      <c r="AB201" s="34">
        <f ca="1"/>
        <v>-2.4877399066982466</v>
      </c>
      <c r="AC201" s="34">
        <f ca="1"/>
        <v>-1.2094925672207566</v>
      </c>
      <c r="AD201" s="34">
        <f ca="1"/>
        <v>-5.8151744469342912</v>
      </c>
      <c r="AE201" s="34">
        <f ca="1"/>
        <v>-2.9022864898377283</v>
      </c>
      <c r="AF201" s="34">
        <f ca="1"/>
        <v>-1.3123009140796675</v>
      </c>
      <c r="AG201" s="34">
        <f ca="1"/>
        <v>-1.5861248143627584</v>
      </c>
      <c r="AH201" s="34">
        <f ca="1"/>
        <v>-5.1803953164488341</v>
      </c>
      <c r="AI201" s="35">
        <f ca="1"/>
        <v>-1.2094925672207566</v>
      </c>
    </row>
    <row r="202" spans="23:53" ht="24" customHeight="1">
      <c r="Z202" s="33">
        <f ca="1"/>
        <v>0.5365082602347726</v>
      </c>
      <c r="AA202" s="34">
        <f ca="1"/>
        <v>0.36108975561317896</v>
      </c>
      <c r="AB202" s="34">
        <f ca="1"/>
        <v>0.33441581388631697</v>
      </c>
      <c r="AC202" s="34">
        <f ca="1"/>
        <v>0.28388861657964359</v>
      </c>
      <c r="AD202" s="34">
        <f ca="1"/>
        <v>0.36975886841769035</v>
      </c>
      <c r="AE202" s="34">
        <f ca="1"/>
        <v>0.5365082602347726</v>
      </c>
      <c r="AF202" s="34">
        <f ca="1"/>
        <v>0.5365082602347726</v>
      </c>
      <c r="AG202" s="34">
        <f ca="1"/>
        <v>0.47865232895075505</v>
      </c>
      <c r="AH202" s="34">
        <f ca="1"/>
        <v>0.5365082602347726</v>
      </c>
      <c r="AI202" s="35">
        <f ca="1"/>
        <v>0.5365082602347726</v>
      </c>
    </row>
    <row r="204" spans="23:53" ht="24" customHeight="1">
      <c r="Y204" s="11" t="s">
        <v>66</v>
      </c>
      <c r="Z204" s="36" t="s">
        <v>7</v>
      </c>
    </row>
    <row r="205" spans="23:53" ht="24" customHeight="1">
      <c r="Z205" s="5">
        <f ca="1">AVERAGE(_xlfn.ANCHORARRAY(Z198))</f>
        <v>-0.47792214212763717</v>
      </c>
    </row>
    <row r="206" spans="23:53" ht="24" customHeight="1">
      <c r="Y206" s="11" t="s">
        <v>67</v>
      </c>
      <c r="Z206" s="36" t="s">
        <v>7</v>
      </c>
    </row>
    <row r="209" spans="24:26" ht="24" customHeight="1">
      <c r="X209" s="6" t="s">
        <v>104</v>
      </c>
      <c r="Z209" s="7">
        <f ca="1">-Z205</f>
        <v>0.47792214212763717</v>
      </c>
    </row>
  </sheetData>
  <conditionalFormatting sqref="E24:O24">
    <cfRule type="dataBar" priority="28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{739B135E-6161-274F-B617-BE740E519970}</x14:id>
        </ext>
      </extLst>
    </cfRule>
  </conditionalFormatting>
  <conditionalFormatting sqref="G39:P39">
    <cfRule type="dataBar" priority="27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{E0F24349-8547-B743-8181-8683F34DCC58}</x14:id>
        </ext>
      </extLst>
    </cfRule>
  </conditionalFormatting>
  <conditionalFormatting sqref="G58:P58">
    <cfRule type="dataBar" priority="32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{E57F5674-FCF7-3D4E-8A10-F58D19084195}</x14:id>
        </ext>
      </extLst>
    </cfRule>
  </conditionalFormatting>
  <conditionalFormatting sqref="H117:Q118">
    <cfRule type="dataBar" priority="34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{481E451B-5C64-674D-8162-366E7F6BB477}</x14:id>
        </ext>
      </extLst>
    </cfRule>
  </conditionalFormatting>
  <conditionalFormatting sqref="I156:R160">
    <cfRule type="dataBar" priority="30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{39A12765-971B-AD47-9851-74AC9C669C85}</x14:id>
        </ext>
      </extLst>
    </cfRule>
  </conditionalFormatting>
  <conditionalFormatting sqref="W24:AG24">
    <cfRule type="dataBar" priority="26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{3FD2BCBC-33A4-9D40-AF59-E3D0B0A4EBAC}</x14:id>
        </ext>
      </extLst>
    </cfRule>
  </conditionalFormatting>
  <conditionalFormatting sqref="Y117:AH118">
    <cfRule type="dataBar" priority="3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{6F816A6F-E5FB-E145-B970-B22B8F74E787}</x14:id>
        </ext>
      </extLst>
    </cfRule>
  </conditionalFormatting>
  <conditionalFormatting sqref="AI156:AI16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{8B28B137-59DB-E849-8845-38D0CEA49258}</x14:id>
        </ext>
      </extLst>
    </cfRule>
  </conditionalFormatting>
  <conditionalFormatting sqref="AO24:AY24">
    <cfRule type="dataBar" priority="25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{3E8DD3A3-7E2E-B24B-9E7D-88779195111F}</x14:id>
        </ext>
      </extLst>
    </cfRule>
  </conditionalFormatting>
  <conditionalFormatting sqref="AR156:BA160">
    <cfRule type="dataBar" priority="29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{DB4AE631-4D3D-C640-A554-002E3A57A888}</x14:id>
        </ext>
      </extLst>
    </cfRule>
  </conditionalFormatting>
  <conditionalFormatting sqref="AR164:BA168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max"/>
        <color rgb="FFFFEF9C"/>
        <color rgb="FF63BE7B"/>
      </colorScale>
    </cfRule>
  </conditionalFormatting>
  <conditionalFormatting sqref="AR181:BA185">
    <cfRule type="colorScale" priority="24">
      <colorScale>
        <cfvo type="min"/>
        <cfvo type="max"/>
        <color rgb="FFFFEF9C"/>
        <color rgb="FF63BE7B"/>
      </colorScale>
    </cfRule>
  </conditionalFormatting>
  <conditionalFormatting sqref="AR189:BA193">
    <cfRule type="colorScale" priority="7">
      <colorScale>
        <cfvo type="min"/>
        <cfvo type="max"/>
        <color rgb="FFFFEF9C"/>
        <color rgb="FF63BE7B"/>
      </colorScale>
    </cfRule>
  </conditionalFormatting>
  <conditionalFormatting sqref="AZ178:AZ179">
    <cfRule type="colorScale" priority="23">
      <colorScale>
        <cfvo type="min"/>
        <cfvo type="max"/>
        <color rgb="FFFFEF9C"/>
        <color rgb="FF63BE7B"/>
      </colorScale>
    </cfRule>
  </conditionalFormatting>
  <conditionalFormatting sqref="BA58:BJ58">
    <cfRule type="dataBar" priority="3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{55737A29-4744-A34F-9011-3F86FD8CAA1D}</x14:id>
        </ext>
      </extLst>
    </cfRule>
  </conditionalFormatting>
  <conditionalFormatting sqref="BA65:BJ65">
    <cfRule type="dataBar" priority="2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{21213722-CA41-AB46-85A2-8CAAA523D08A}</x14:id>
        </ext>
      </extLst>
    </cfRule>
  </conditionalFormatting>
  <conditionalFormatting sqref="BA66:BJ66">
    <cfRule type="dataBar" priority="20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{C53BE4FF-EAD7-664B-9FD6-AFEE8FB97BB9}</x14:id>
        </ext>
      </extLst>
    </cfRule>
  </conditionalFormatting>
  <conditionalFormatting sqref="BA71:BJ71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">
      <colorScale>
        <cfvo type="min"/>
        <cfvo type="max"/>
        <color rgb="FFFFEF9C"/>
        <color rgb="FF63BE7B"/>
      </colorScale>
    </cfRule>
  </conditionalFormatting>
  <conditionalFormatting sqref="BA81:BJ81">
    <cfRule type="colorScale" priority="12">
      <colorScale>
        <cfvo type="min"/>
        <cfvo type="max"/>
        <color rgb="FFFFEF9C"/>
        <color rgb="FF63BE7B"/>
      </colorScale>
    </cfRule>
  </conditionalFormatting>
  <conditionalFormatting sqref="BA86:BJ86">
    <cfRule type="colorScale" priority="4">
      <colorScale>
        <cfvo type="min"/>
        <cfvo type="max"/>
        <color rgb="FFFFEF9C"/>
        <color rgb="FF63BE7B"/>
      </colorScale>
    </cfRule>
  </conditionalFormatting>
  <conditionalFormatting sqref="BC181:BC182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max"/>
        <color rgb="FFFFEF9C"/>
        <color rgb="FF63BE7B"/>
      </colorScale>
    </cfRule>
  </conditionalFormatting>
  <conditionalFormatting sqref="BC189:BC190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max"/>
        <color rgb="FFFFEF9C"/>
        <color rgb="FF63BE7B"/>
      </colorScale>
    </cfRule>
  </conditionalFormatting>
  <conditionalFormatting sqref="BD164:BD166">
    <cfRule type="colorScale" priority="16">
      <colorScale>
        <cfvo type="min"/>
        <cfvo type="max"/>
        <color rgb="FFFFEF9C"/>
        <color rgb="FF63BE7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L71:BL73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max"/>
        <color rgb="FFFFEF9C"/>
        <color rgb="FF63BE7B"/>
      </colorScale>
    </cfRule>
  </conditionalFormatting>
  <conditionalFormatting sqref="BL81:BL82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max"/>
        <color rgb="FFFFEF9C"/>
        <color rgb="FF63BE7B"/>
      </colorScale>
    </cfRule>
  </conditionalFormatting>
  <conditionalFormatting sqref="BL86:BL8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32" fitToHeight="0" orientation="landscape" horizontalDpi="0" verticalDpi="0"/>
  <rowBreaks count="3" manualBreakCount="3">
    <brk id="46" max="16383" man="1"/>
    <brk id="103" max="16383" man="1"/>
    <brk id="141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9B135E-6161-274F-B617-BE740E5199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E24:O24</xm:sqref>
        </x14:conditionalFormatting>
        <x14:conditionalFormatting xmlns:xm="http://schemas.microsoft.com/office/excel/2006/main">
          <x14:cfRule type="dataBar" id="{E0F24349-8547-B743-8181-8683F34DCC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G39:P39</xm:sqref>
        </x14:conditionalFormatting>
        <x14:conditionalFormatting xmlns:xm="http://schemas.microsoft.com/office/excel/2006/main">
          <x14:cfRule type="dataBar" id="{E57F5674-FCF7-3D4E-8A10-F58D190841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G58:P58</xm:sqref>
        </x14:conditionalFormatting>
        <x14:conditionalFormatting xmlns:xm="http://schemas.microsoft.com/office/excel/2006/main">
          <x14:cfRule type="dataBar" id="{481E451B-5C64-674D-8162-366E7F6BB4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H117:Q118</xm:sqref>
        </x14:conditionalFormatting>
        <x14:conditionalFormatting xmlns:xm="http://schemas.microsoft.com/office/excel/2006/main">
          <x14:cfRule type="dataBar" id="{39A12765-971B-AD47-9851-74AC9C669C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I156:R160</xm:sqref>
        </x14:conditionalFormatting>
        <x14:conditionalFormatting xmlns:xm="http://schemas.microsoft.com/office/excel/2006/main">
          <x14:cfRule type="dataBar" id="{3FD2BCBC-33A4-9D40-AF59-E3D0B0A4E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W24:AG24</xm:sqref>
        </x14:conditionalFormatting>
        <x14:conditionalFormatting xmlns:xm="http://schemas.microsoft.com/office/excel/2006/main">
          <x14:cfRule type="dataBar" id="{6F816A6F-E5FB-E145-B970-B22B8F74E7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Y117:AH118</xm:sqref>
        </x14:conditionalFormatting>
        <x14:conditionalFormatting xmlns:xm="http://schemas.microsoft.com/office/excel/2006/main">
          <x14:cfRule type="dataBar" id="{8B28B137-59DB-E849-8845-38D0CEA492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AI156:AI160</xm:sqref>
        </x14:conditionalFormatting>
        <x14:conditionalFormatting xmlns:xm="http://schemas.microsoft.com/office/excel/2006/main">
          <x14:cfRule type="dataBar" id="{3E8DD3A3-7E2E-B24B-9E7D-8877919511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AO24:AY24</xm:sqref>
        </x14:conditionalFormatting>
        <x14:conditionalFormatting xmlns:xm="http://schemas.microsoft.com/office/excel/2006/main">
          <x14:cfRule type="dataBar" id="{DB4AE631-4D3D-C640-A554-002E3A57A8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AR156:BA160</xm:sqref>
        </x14:conditionalFormatting>
        <x14:conditionalFormatting xmlns:xm="http://schemas.microsoft.com/office/excel/2006/main">
          <x14:cfRule type="dataBar" id="{55737A29-4744-A34F-9011-3F86FD8CAA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BA58:BJ58</xm:sqref>
        </x14:conditionalFormatting>
        <x14:conditionalFormatting xmlns:xm="http://schemas.microsoft.com/office/excel/2006/main">
          <x14:cfRule type="dataBar" id="{21213722-CA41-AB46-85A2-8CAAA523D0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BA65:BJ65</xm:sqref>
        </x14:conditionalFormatting>
        <x14:conditionalFormatting xmlns:xm="http://schemas.microsoft.com/office/excel/2006/main">
          <x14:cfRule type="dataBar" id="{C53BE4FF-EAD7-664B-9FD6-AFEE8FB97B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BA66:BJ66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5B8B-0F5E-F945-8AAE-AA343826AF58}">
  <dimension ref="A1:A22"/>
  <sheetViews>
    <sheetView workbookViewId="0">
      <selection activeCell="A33" sqref="A33"/>
    </sheetView>
  </sheetViews>
  <sheetFormatPr defaultColWidth="11" defaultRowHeight="15.95"/>
  <cols>
    <col min="1" max="1" width="100.625" customWidth="1"/>
  </cols>
  <sheetData>
    <row r="1" spans="1:1" ht="20.100000000000001">
      <c r="A1" s="66" t="s">
        <v>105</v>
      </c>
    </row>
    <row r="2" spans="1:1" ht="17.100000000000001">
      <c r="A2" s="67" t="s">
        <v>106</v>
      </c>
    </row>
    <row r="3" spans="1:1">
      <c r="A3" s="67"/>
    </row>
    <row r="4" spans="1:1" ht="33.950000000000003">
      <c r="A4" s="67" t="s">
        <v>107</v>
      </c>
    </row>
    <row r="5" spans="1:1">
      <c r="A5" s="68"/>
    </row>
    <row r="6" spans="1:1" ht="17.100000000000001">
      <c r="A6" s="69" t="s">
        <v>108</v>
      </c>
    </row>
    <row r="7" spans="1:1" ht="33.950000000000003">
      <c r="A7" s="67" t="s">
        <v>109</v>
      </c>
    </row>
    <row r="8" spans="1:1" ht="33.950000000000003">
      <c r="A8" s="67" t="s">
        <v>110</v>
      </c>
    </row>
    <row r="9" spans="1:1">
      <c r="A9" s="67"/>
    </row>
    <row r="10" spans="1:1" ht="17.100000000000001">
      <c r="A10" s="69" t="s">
        <v>111</v>
      </c>
    </row>
    <row r="11" spans="1:1" ht="33.950000000000003">
      <c r="A11" s="67" t="s">
        <v>112</v>
      </c>
    </row>
    <row r="12" spans="1:1" ht="17.100000000000001">
      <c r="A12" s="67" t="s">
        <v>113</v>
      </c>
    </row>
    <row r="13" spans="1:1" ht="33.950000000000003">
      <c r="A13" s="67" t="s">
        <v>114</v>
      </c>
    </row>
    <row r="14" spans="1:1">
      <c r="A14" s="67"/>
    </row>
    <row r="15" spans="1:1" ht="17.100000000000001">
      <c r="A15" s="69" t="s">
        <v>115</v>
      </c>
    </row>
    <row r="16" spans="1:1" ht="33.950000000000003">
      <c r="A16" s="67" t="s">
        <v>116</v>
      </c>
    </row>
    <row r="17" spans="1:1">
      <c r="A17" s="67"/>
    </row>
    <row r="18" spans="1:1" ht="17.100000000000001">
      <c r="A18" s="69" t="s">
        <v>117</v>
      </c>
    </row>
    <row r="19" spans="1:1" ht="33.950000000000003">
      <c r="A19" s="67" t="s">
        <v>118</v>
      </c>
    </row>
    <row r="20" spans="1:1">
      <c r="A20" s="67"/>
    </row>
    <row r="21" spans="1:1" ht="17.100000000000001">
      <c r="A21" s="69" t="s">
        <v>119</v>
      </c>
    </row>
    <row r="22" spans="1:1" ht="33.950000000000003">
      <c r="A22" s="67" t="s">
        <v>120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/>
  <cp:revision/>
  <dcterms:created xsi:type="dcterms:W3CDTF">2026-01-19T14:11:06Z</dcterms:created>
  <dcterms:modified xsi:type="dcterms:W3CDTF">2026-04-10T11:44:29Z</dcterms:modified>
  <cp:category/>
  <cp:contentStatus/>
</cp:coreProperties>
</file>