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5/Academy/Seminars/2026/2026.1.8 - mHC/"/>
    </mc:Choice>
  </mc:AlternateContent>
  <xr:revisionPtr revIDLastSave="0" documentId="8_{541B48A0-4FB4-4E4D-8293-FACF784AFB35}" xr6:coauthVersionLast="47" xr6:coauthVersionMax="47" xr10:uidLastSave="{00000000-0000-0000-0000-000000000000}"/>
  <bookViews>
    <workbookView xWindow="0" yWindow="660" windowWidth="29400" windowHeight="18460" firstSheet="1" activeTab="1" xr2:uid="{9532F2AE-9008-9845-9F6C-4B7E07E52430}"/>
  </bookViews>
  <sheets>
    <sheet name="mHC" sheetId="6" r:id="rId1"/>
    <sheet name="LICENSE" sheetId="7" r:id="rId2"/>
  </sheets>
  <definedNames>
    <definedName name="_PAD" localSheetId="1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_PAD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FXY">_xlfn.LAMBDA(_xlpm.f,_xlpm.d, _xlfn.MAKEARRAY(_xlpm.d*2+1,_xlpm.d*2+1,_xlfn.LAMBDA(_xlpm.y,_xlpm.x,_xlpm.f(_xlpm.x-_xlpm.d-1,_xlpm.y-_xlpm.d-1))))</definedName>
    <definedName name="IM2COL" localSheetId="1">_xlfn.LAMBDA(_xlpm.image,_xlpm.filter_size,_xlpm.stride,_xlpm.pad,_xlpm.pad_value, _xlfn.LET(_xlpm.o, IF(_xlpm.pad&gt;0, LICENSE!_PAD(_xlpm.image,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IM2COL">_xlfn.LAMBDA(_xlpm.image,_xlpm.filter_size,_xlpm.stride,_xlpm.pad,_xlpm.pad_value, _xlfn.LET(_xlpm.o, IF(_xlpm.pad&gt;0, 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SOFTMAX">_xlfn.LAMBDA(_xlpm.x, _xlfn.LET(_xlpm.s,  SUM(EXP(_xlpm.x)), EXP(_xlpm.x) / _xlpm.s))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0" i="6" l="1" a="1"/>
  <c r="N280" i="6" s="1"/>
  <c r="W252" i="6" a="1"/>
  <c r="W252" i="6" s="1"/>
  <c r="W247" i="6" a="1"/>
  <c r="W247" i="6" s="1"/>
  <c r="F235" i="6" a="1"/>
  <c r="F235" i="6" s="1"/>
  <c r="N192" i="6" a="1"/>
  <c r="N192" i="6" s="1"/>
  <c r="N187" i="6" a="1"/>
  <c r="N187" i="6" s="1"/>
  <c r="N176" i="6" a="1"/>
  <c r="N176" i="6" s="1"/>
  <c r="F102" i="6" a="1"/>
  <c r="F102" i="6" s="1"/>
  <c r="F91" i="6" a="1"/>
  <c r="F91" i="6" s="1"/>
  <c r="C404" i="6" a="1"/>
  <c r="C404" i="6" s="1"/>
  <c r="B5" i="6" a="1"/>
  <c r="A62" i="6"/>
  <c r="A344" i="6"/>
  <c r="Q326" i="6" a="1"/>
  <c r="F55" i="6" a="1"/>
  <c r="F55" i="6" s="1"/>
  <c r="F38" i="6" a="1"/>
  <c r="F38" i="6" s="1"/>
  <c r="A26" i="6"/>
  <c r="N91" i="6" a="1"/>
  <c r="N91" i="6" s="1"/>
  <c r="A111" i="6"/>
  <c r="L258" i="6" a="1"/>
  <c r="L258" i="6" s="1"/>
  <c r="A243" i="6"/>
  <c r="A212" i="6"/>
  <c r="C300" i="6" a="1"/>
  <c r="N294" i="6" a="1"/>
  <c r="N294" i="6" s="1"/>
  <c r="N289" i="6" a="1"/>
  <c r="N289" i="6" s="1"/>
  <c r="A287" i="6"/>
  <c r="A274" i="6"/>
  <c r="A170" i="6"/>
  <c r="A184" i="6"/>
  <c r="C198" i="6" a="1"/>
  <c r="C198" i="6" s="1"/>
  <c r="AZ544" i="6" a="1"/>
  <c r="BL536" i="6" a="1"/>
  <c r="AZ477" i="6" a="1"/>
  <c r="F477" i="6" a="1"/>
  <c r="BP461" i="6" a="1"/>
  <c r="BP461" i="6" s="1"/>
  <c r="V461" i="6" s="1" a="1"/>
  <c r="V461" i="6" s="1"/>
  <c r="AG461" i="6" a="1"/>
  <c r="AG461" i="6" s="1"/>
  <c r="C18" i="6" l="1"/>
  <c r="C17" i="6"/>
  <c r="C16" i="6"/>
  <c r="C15" i="6"/>
  <c r="C14" i="6"/>
  <c r="C13" i="6"/>
  <c r="C12" i="6"/>
  <c r="C11" i="6"/>
  <c r="C10" i="6"/>
  <c r="C9" i="6"/>
  <c r="C8" i="6"/>
  <c r="C7" i="6"/>
  <c r="C6" i="6"/>
  <c r="B5" i="6"/>
  <c r="Q326" i="6"/>
  <c r="W258" i="6" a="1"/>
  <c r="C300" i="6"/>
  <c r="N300" i="6" s="1" a="1"/>
  <c r="N198" i="6" a="1"/>
  <c r="AZ544" i="6"/>
  <c r="BP544" i="6" s="1" a="1"/>
  <c r="BL536" i="6"/>
  <c r="AZ477" i="6"/>
  <c r="BP477" i="6" s="1" a="1"/>
  <c r="F477" i="6"/>
  <c r="D18" i="6" a="1"/>
  <c r="D15" i="6" a="1"/>
  <c r="D7" i="6" a="1"/>
  <c r="D9" i="6" a="1"/>
  <c r="D12" i="6" a="1"/>
  <c r="D14" i="6" a="1"/>
  <c r="D6" i="6" a="1"/>
  <c r="D8" i="6" a="1"/>
  <c r="D11" i="6" a="1"/>
  <c r="D17" i="6" a="1"/>
  <c r="D16" i="6" a="1"/>
  <c r="D13" i="6" a="1"/>
  <c r="D10" i="6" a="1"/>
  <c r="D8" i="6" l="1"/>
  <c r="D14" i="6"/>
  <c r="D15" i="6"/>
  <c r="D9" i="6"/>
  <c r="D10" i="6"/>
  <c r="D16" i="6"/>
  <c r="D17" i="6"/>
  <c r="D11" i="6"/>
  <c r="D6" i="6"/>
  <c r="D12" i="6"/>
  <c r="D18" i="6"/>
  <c r="D7" i="6"/>
  <c r="D13" i="6"/>
  <c r="C5" i="6"/>
  <c r="Q336" i="6" a="1"/>
  <c r="Q336" i="6" s="1"/>
  <c r="F347" i="6" a="1"/>
  <c r="W258" i="6"/>
  <c r="W261" i="6" s="1" a="1"/>
  <c r="N300" i="6"/>
  <c r="N306" i="6" s="1" a="1"/>
  <c r="N198" i="6"/>
  <c r="N202" i="6" s="1" a="1"/>
  <c r="BP544" i="6"/>
  <c r="BP548" i="6" s="1" a="1"/>
  <c r="BP477" i="6"/>
  <c r="BN481" i="6" a="1"/>
  <c r="AG477" i="6" a="1"/>
  <c r="V477" i="6" a="1"/>
  <c r="V477" i="6" s="1"/>
  <c r="V488" i="6" s="1" a="1"/>
  <c r="D5" i="6" a="1"/>
  <c r="D5" i="6" l="1"/>
  <c r="F347" i="6"/>
  <c r="Q347" i="6" s="1" a="1"/>
  <c r="W261" i="6"/>
  <c r="W264" i="6" s="1" a="1"/>
  <c r="N306" i="6"/>
  <c r="N312" i="6" s="1" a="1"/>
  <c r="N312" i="6" s="1"/>
  <c r="N316" i="6" s="1" a="1"/>
  <c r="N316" i="6" s="1"/>
  <c r="N202" i="6"/>
  <c r="N205" i="6" s="1" a="1"/>
  <c r="N205" i="6" s="1"/>
  <c r="BN481" i="6"/>
  <c r="BP548" i="6"/>
  <c r="BP552" i="6" s="1" a="1"/>
  <c r="AG477" i="6"/>
  <c r="AG487" i="6" s="1" a="1"/>
  <c r="V488" i="6"/>
  <c r="V492" i="6" s="1" a="1"/>
  <c r="W264" i="6" l="1"/>
  <c r="Q347" i="6"/>
  <c r="Z347" i="6" s="1" a="1"/>
  <c r="Z347" i="6" s="1"/>
  <c r="BP493" i="6" a="1"/>
  <c r="BP481" i="6" a="1"/>
  <c r="BP552" i="6"/>
  <c r="BP556" i="6" s="1" a="1"/>
  <c r="AG487" i="6"/>
  <c r="V492" i="6"/>
  <c r="Q356" i="6" l="1" a="1"/>
  <c r="F264" i="6" a="1"/>
  <c r="F264" i="6" s="1"/>
  <c r="F266" i="6" s="1" a="1"/>
  <c r="F266" i="6" s="1"/>
  <c r="V496" i="6" a="1"/>
  <c r="Z492" i="6" a="1"/>
  <c r="Z492" i="6" s="1"/>
  <c r="AG497" i="6" a="1"/>
  <c r="BP493" i="6"/>
  <c r="BJ500" i="6" s="1" a="1"/>
  <c r="BJ500" i="6" s="1"/>
  <c r="BP481" i="6"/>
  <c r="BP485" i="6" s="1" a="1"/>
  <c r="BP485" i="6" s="1"/>
  <c r="BP489" i="6" s="1" a="1"/>
  <c r="BP489" i="6" s="1"/>
  <c r="BP556" i="6"/>
  <c r="BP560" i="6" s="1" a="1"/>
  <c r="BP560" i="6" s="1"/>
  <c r="Q356" i="6" l="1"/>
  <c r="Q358" i="6" s="1" a="1"/>
  <c r="V496" i="6"/>
  <c r="V498" i="6" s="1" a="1"/>
  <c r="AO507" i="6" a="1"/>
  <c r="AN507" i="6" a="1"/>
  <c r="AM507" i="6" a="1"/>
  <c r="AL507" i="6" a="1"/>
  <c r="AK507" i="6" a="1"/>
  <c r="AJ507" i="6" a="1"/>
  <c r="AI507" i="6" a="1"/>
  <c r="AH507" i="6" a="1"/>
  <c r="AG497" i="6"/>
  <c r="AG507" i="6" s="1" a="1"/>
  <c r="BP500" i="6" a="1"/>
  <c r="Q358" i="6" l="1"/>
  <c r="V498" i="6"/>
  <c r="V502" i="6" s="1" a="1"/>
  <c r="V502" i="6" s="1"/>
  <c r="AO507" i="6"/>
  <c r="AO517" i="6" s="1" a="1"/>
  <c r="AO517" i="6" s="1"/>
  <c r="AO527" i="6" s="1" a="1"/>
  <c r="AN507" i="6"/>
  <c r="AN517" i="6" s="1" a="1"/>
  <c r="AN517" i="6" s="1"/>
  <c r="AN527" i="6" s="1" a="1"/>
  <c r="AM507" i="6"/>
  <c r="AM517" i="6" s="1" a="1"/>
  <c r="AM517" i="6" s="1"/>
  <c r="AM527" i="6" s="1" a="1"/>
  <c r="AL507" i="6"/>
  <c r="AL517" i="6" s="1" a="1"/>
  <c r="AL517" i="6" s="1"/>
  <c r="AL527" i="6" s="1" a="1"/>
  <c r="AK507" i="6"/>
  <c r="AK517" i="6" s="1" a="1"/>
  <c r="AK517" i="6" s="1"/>
  <c r="AK527" i="6" s="1" a="1"/>
  <c r="AJ507" i="6"/>
  <c r="AJ517" i="6" s="1" a="1"/>
  <c r="AJ517" i="6" s="1"/>
  <c r="AJ527" i="6" s="1" a="1"/>
  <c r="AI507" i="6"/>
  <c r="AI517" i="6" s="1" a="1"/>
  <c r="AH507" i="6"/>
  <c r="AH517" i="6" s="1" a="1"/>
  <c r="AH517" i="6" s="1"/>
  <c r="AH527" i="6" s="1" a="1"/>
  <c r="AG507" i="6"/>
  <c r="AG517" i="6" s="1" a="1"/>
  <c r="AG517" i="6" s="1"/>
  <c r="AG527" i="6" s="1" a="1"/>
  <c r="BB516" i="6" a="1"/>
  <c r="BF526" i="6" a="1"/>
  <c r="BF526" i="6" s="1"/>
  <c r="BP500" i="6"/>
  <c r="BF512" i="6" s="1" a="1"/>
  <c r="BF512" i="6" s="1"/>
  <c r="Q367" i="6" l="1" a="1"/>
  <c r="Q367" i="6" s="1"/>
  <c r="Z358" i="6" a="1"/>
  <c r="Z358" i="6" s="1"/>
  <c r="Q369" i="6" s="1" a="1"/>
  <c r="Z498" i="6" a="1"/>
  <c r="Z498" i="6" s="1"/>
  <c r="V504" i="6" s="1" a="1"/>
  <c r="V504" i="6" s="1"/>
  <c r="AK574" i="6" a="1"/>
  <c r="AK574" i="6" s="1"/>
  <c r="AK569" i="6" a="1"/>
  <c r="AK569" i="6" s="1"/>
  <c r="AK527" i="6"/>
  <c r="AK564" i="6" s="1" a="1"/>
  <c r="AK564" i="6" s="1"/>
  <c r="AI517" i="6"/>
  <c r="AI527" i="6" s="1" a="1"/>
  <c r="AO574" i="6" a="1"/>
  <c r="AO574" i="6" s="1"/>
  <c r="AO569" i="6" a="1"/>
  <c r="AO569" i="6" s="1"/>
  <c r="AO527" i="6"/>
  <c r="AO564" i="6" s="1" a="1"/>
  <c r="AO564" i="6" s="1"/>
  <c r="AN574" i="6" a="1"/>
  <c r="AN574" i="6" s="1"/>
  <c r="AN569" i="6" a="1"/>
  <c r="AN569" i="6" s="1"/>
  <c r="AN527" i="6"/>
  <c r="AN564" i="6" s="1" a="1"/>
  <c r="AN564" i="6" s="1"/>
  <c r="AM527" i="6"/>
  <c r="AM564" i="6" s="1" a="1"/>
  <c r="AM564" i="6" s="1"/>
  <c r="AM569" i="6" a="1"/>
  <c r="AM569" i="6" s="1"/>
  <c r="AM574" i="6" a="1"/>
  <c r="AM574" i="6" s="1"/>
  <c r="AL527" i="6"/>
  <c r="AL564" i="6" s="1" a="1"/>
  <c r="AL564" i="6" s="1"/>
  <c r="AL569" i="6" a="1"/>
  <c r="AL569" i="6" s="1"/>
  <c r="AL574" i="6" a="1"/>
  <c r="AL574" i="6" s="1"/>
  <c r="AJ574" i="6" a="1"/>
  <c r="AJ574" i="6" s="1"/>
  <c r="AJ569" i="6" a="1"/>
  <c r="AJ569" i="6" s="1"/>
  <c r="AJ527" i="6"/>
  <c r="AJ564" i="6" s="1" a="1"/>
  <c r="AJ564" i="6" s="1"/>
  <c r="AH527" i="6"/>
  <c r="AH564" i="6" s="1" a="1"/>
  <c r="AH564" i="6" s="1"/>
  <c r="AH569" i="6" a="1"/>
  <c r="AH569" i="6" s="1"/>
  <c r="AH574" i="6" a="1"/>
  <c r="AH574" i="6" s="1"/>
  <c r="AG574" i="6" a="1"/>
  <c r="AG574" i="6" s="1"/>
  <c r="AG569" i="6" a="1"/>
  <c r="AG569" i="6" s="1"/>
  <c r="AG527" i="6"/>
  <c r="AG564" i="6" s="1" a="1"/>
  <c r="AG564" i="6" s="1"/>
  <c r="BB516" i="6"/>
  <c r="BF516" i="6" s="1" a="1"/>
  <c r="Q369" i="6" l="1"/>
  <c r="V508" i="6" a="1"/>
  <c r="V508" i="6" s="1"/>
  <c r="V513" i="6" a="1"/>
  <c r="V523" i="6" s="1" a="1"/>
  <c r="V523" i="6" s="1"/>
  <c r="V574" i="6" s="1" a="1"/>
  <c r="V574" i="6" s="1"/>
  <c r="Z504" i="6" a="1"/>
  <c r="Z504" i="6" s="1"/>
  <c r="AI574" i="6" a="1"/>
  <c r="AI574" i="6" s="1"/>
  <c r="AI569" i="6" a="1"/>
  <c r="AI569" i="6" s="1"/>
  <c r="AI527" i="6"/>
  <c r="AI564" i="6" s="1" a="1"/>
  <c r="AI564" i="6" s="1"/>
  <c r="BX516" i="6" a="1"/>
  <c r="BX516" i="6" s="1"/>
  <c r="BV516" i="6" a="1"/>
  <c r="BV516" i="6" s="1"/>
  <c r="BW516" i="6" a="1"/>
  <c r="BW516" i="6" s="1"/>
  <c r="BR516" i="6" a="1"/>
  <c r="BR516" i="6" s="1"/>
  <c r="BF516" i="6"/>
  <c r="BP516" i="6" s="1" a="1"/>
  <c r="BP516" i="6" s="1"/>
  <c r="BT516" i="6" a="1"/>
  <c r="BT516" i="6" s="1"/>
  <c r="BS516" i="6" a="1"/>
  <c r="BS516" i="6" s="1"/>
  <c r="BQ516" i="6" a="1"/>
  <c r="BQ516" i="6" s="1"/>
  <c r="BU516" i="6" a="1"/>
  <c r="BU516" i="6" s="1"/>
  <c r="V513" i="6" l="1"/>
  <c r="V517" i="6" s="1" a="1"/>
  <c r="V517" i="6" s="1"/>
  <c r="V564" i="6" s="1" a="1"/>
  <c r="V564" i="6" s="1"/>
  <c r="V520" i="6" a="1"/>
  <c r="V520" i="6" s="1"/>
  <c r="V569" i="6" s="1" a="1"/>
  <c r="V569" i="6" s="1"/>
  <c r="Q378" i="6" a="1"/>
  <c r="Z369" i="6" a="1"/>
  <c r="BP526" i="6" a="1"/>
  <c r="BP526" i="6" s="1"/>
  <c r="BP532" i="6" s="1" a="1"/>
  <c r="Q378" i="6" l="1"/>
  <c r="Q380" i="6" s="1" a="1"/>
  <c r="Q380" i="6" s="1"/>
  <c r="Z369" i="6"/>
  <c r="BP532" i="6"/>
  <c r="BP536" i="6" s="1" a="1"/>
  <c r="BP536" i="6" s="1"/>
  <c r="BP569" i="6" s="1" a="1"/>
  <c r="BP569" i="6" s="1"/>
  <c r="BP564" i="6" l="1" a="1"/>
  <c r="BP564" i="6" s="1"/>
  <c r="BP574" i="6" a="1"/>
  <c r="BP574" i="6" s="1"/>
  <c r="Q389" i="6" l="1" a="1"/>
  <c r="Q389" i="6" s="1"/>
  <c r="Z380" i="6" a="1"/>
  <c r="Z380" i="6" s="1"/>
  <c r="Q391" i="6" s="1" a="1"/>
  <c r="AG587" i="6" a="1"/>
  <c r="AG587" i="6" s="1"/>
  <c r="Q391" i="6" l="1"/>
  <c r="Q404" i="6" s="1" a="1"/>
  <c r="Q404" i="6" s="1"/>
  <c r="Q400" i="6" l="1" a="1"/>
  <c r="Q400" i="6" s="1"/>
  <c r="Z391" i="6" a="1"/>
  <c r="Z391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<sst xmlns="http://schemas.openxmlformats.org/spreadsheetml/2006/main" count="212" uniqueCount="48">
  <si>
    <t>Manifold-Constrained Hyper Connnections (mHC)</t>
  </si>
  <si>
    <t>https://arxiv.org/pdf/2512.24880</t>
  </si>
  <si>
    <t>Table of Content</t>
  </si>
  <si>
    <t># 1. Residual Connection</t>
  </si>
  <si>
    <t>## Layer</t>
  </si>
  <si>
    <t>C</t>
  </si>
  <si>
    <t>↓</t>
  </si>
  <si>
    <t>## Residual Connection</t>
  </si>
  <si>
    <t>residual add</t>
  </si>
  <si>
    <t># 2. Hyper Connections</t>
  </si>
  <si>
    <t>## Multiple Streams</t>
  </si>
  <si>
    <t>n</t>
  </si>
  <si>
    <t>n -&gt; n mapping</t>
  </si>
  <si>
    <t>n -&gt; 1 mapping</t>
  </si>
  <si>
    <t>1 -&gt; n mapping</t>
  </si>
  <si>
    <t xml:space="preserve">## Static Mapping (n -&gt; 1) </t>
  </si>
  <si>
    <t>→</t>
  </si>
  <si>
    <t>## Dynamic Mapping (n -&gt; 1)</t>
  </si>
  <si>
    <t>Sigmoid</t>
  </si>
  <si>
    <t xml:space="preserve">## Static Mapping (1 -&gt; n) </t>
  </si>
  <si>
    <t>.*</t>
  </si>
  <si>
    <t xml:space="preserve">## Dynamic Mapping (1 -&gt; n) </t>
  </si>
  <si>
    <t xml:space="preserve">## Static Mapping (n -&gt; n) </t>
  </si>
  <si>
    <t xml:space="preserve">## Dynamic Mapping (n -&gt; n) </t>
  </si>
  <si>
    <t># 3. Manifold Constrained</t>
  </si>
  <si>
    <t>## Sinkhorn-Knopp Algorithm</t>
  </si>
  <si>
    <t>EXP</t>
  </si>
  <si>
    <t># 4. Complete Architecture</t>
  </si>
  <si>
    <t>t</t>
  </si>
  <si>
    <t>alpha</t>
  </si>
  <si>
    <t>sigmoid</t>
  </si>
  <si>
    <t>x 2</t>
  </si>
  <si>
    <t>License &amp; Usage Terms</t>
  </si>
  <si>
    <t>© 2026 Tom Yeh. All rights reserved.</t>
  </si>
  <si>
    <t>This spreadsheet is part of the AI by Hand Academy Membership and is licensed, not sold, to authorized subscribers for personal or internal use only.</t>
  </si>
  <si>
    <t>Permitted Use</t>
  </si>
  <si>
    <t>Authorized users may study, reproduce, and adapt the formulas, logic, or structural ideas contained in this spreadsheet for learning, research, experimentation, and internal development.</t>
  </si>
  <si>
    <t>Authorized users may implement those ideas within their own internal systems or codebases (e.g., PyTorch, JAX, TensorFlow, or other frameworks).</t>
  </si>
  <si>
    <t>Prohibited Use</t>
  </si>
  <si>
    <t>You may not copy, share, publish, redistribute, sublicense, sell, or make this spreadsheet (or substantially similar derivatives) available to any third party.</t>
  </si>
  <si>
    <t>You may not publicly post the spreadsheet or its contents, in whole or in part, in any form.</t>
  </si>
  <si>
    <t>You may not use this material or derivative works as part of any commercial product, service, consulting deliverable, paid course, or toolkit without obtaining separate written permission or a commercial-use license from Tom Yeh.</t>
  </si>
  <si>
    <t>Attribution</t>
  </si>
  <si>
    <t>Any public-facing derivative work (including publications, presentations, blog posts, documentation, or open-source releases) based on these materials must include clear attribution to: Prof. Tom Yeh, AI by Hand.</t>
  </si>
  <si>
    <t>Ownership</t>
  </si>
  <si>
    <t>All rights, title, and interest in the original materials remain with Tom Yeh. This license does not grant ownership or transfer of intellectual property.</t>
  </si>
  <si>
    <t>Acceptance</t>
  </si>
  <si>
    <t>Use of this material signifies your acceptance of these License &amp; Usage Terms. Violation of these terms may result in termination of access without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</si>
</sst>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2"/>
      <color theme="1"/>
      <name val="Arial"/>
      <family val="2"/>
    </font>
    <font>
      <sz val="12"/>
      <color rgb="FF1F1F1F"/>
      <name val="Arial"/>
      <family val="2"/>
    </font>
    <font>
      <sz val="12"/>
      <color rgb="FF000000"/>
      <name val="Arial"/>
      <family val="2"/>
    </font>
    <font>
      <sz val="20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3.5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0" xfId="0" applyNumberFormat="1"/>
    <xf numFmtId="0" fontId="2" fillId="0" borderId="0" xfId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9" fillId="3" borderId="0" xfId="0" applyFont="1" applyFill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/>
    <xf numFmtId="0" fontId="3" fillId="0" borderId="0" xfId="0" applyFont="1"/>
    <xf numFmtId="0" fontId="10" fillId="7" borderId="0" xfId="0" applyFont="1" applyFill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/>
    <xf numFmtId="0" fontId="11" fillId="8" borderId="0" xfId="0" applyFont="1" applyFill="1"/>
    <xf numFmtId="0" fontId="12" fillId="8" borderId="0" xfId="0" applyFont="1" applyFill="1"/>
    <xf numFmtId="0" fontId="12" fillId="8" borderId="0" xfId="0" applyFont="1" applyFill="1" applyAlignment="1">
      <alignment horizontal="center" vertical="center" shrinkToFi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0" borderId="0" xfId="1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86104</xdr:colOff>
      <xdr:row>441</xdr:row>
      <xdr:rowOff>107627</xdr:rowOff>
    </xdr:from>
    <xdr:to>
      <xdr:col>27</xdr:col>
      <xdr:colOff>216391</xdr:colOff>
      <xdr:row>454</xdr:row>
      <xdr:rowOff>258304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84808CC-5BF6-F443-BCF2-6B2AF339AE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635" t="19636" r="33243" b="62118"/>
        <a:stretch>
          <a:fillRect/>
        </a:stretch>
      </xdr:blipFill>
      <xdr:spPr>
        <a:xfrm>
          <a:off x="822704" y="60762827"/>
          <a:ext cx="9337787" cy="411307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129152</xdr:colOff>
      <xdr:row>533</xdr:row>
      <xdr:rowOff>21525</xdr:rowOff>
    </xdr:from>
    <xdr:to>
      <xdr:col>30</xdr:col>
      <xdr:colOff>21526</xdr:colOff>
      <xdr:row>543</xdr:row>
      <xdr:rowOff>240992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F1ABC65-EF8F-6D40-950C-88D8D4B59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287" t="51857" r="32758" b="34059"/>
        <a:stretch>
          <a:fillRect/>
        </a:stretch>
      </xdr:blipFill>
      <xdr:spPr>
        <a:xfrm>
          <a:off x="1234052" y="88718325"/>
          <a:ext cx="9836474" cy="326746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64576</xdr:colOff>
      <xdr:row>501</xdr:row>
      <xdr:rowOff>107626</xdr:rowOff>
    </xdr:from>
    <xdr:to>
      <xdr:col>19</xdr:col>
      <xdr:colOff>215253</xdr:colOff>
      <xdr:row>507</xdr:row>
      <xdr:rowOff>172205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BB48E68-4FD6-424C-90DD-EE17D534D1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311" t="80362" r="39596" b="11480"/>
        <a:stretch>
          <a:fillRect/>
        </a:stretch>
      </xdr:blipFill>
      <xdr:spPr>
        <a:xfrm>
          <a:off x="801176" y="79050826"/>
          <a:ext cx="6411777" cy="189337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</xdr:col>
      <xdr:colOff>323726</xdr:colOff>
      <xdr:row>36</xdr:row>
      <xdr:rowOff>24902</xdr:rowOff>
    </xdr:from>
    <xdr:to>
      <xdr:col>9</xdr:col>
      <xdr:colOff>199215</xdr:colOff>
      <xdr:row>51</xdr:row>
      <xdr:rowOff>249020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5AC90A1-F9B3-D4EA-64AB-735F2FFF6A3F}"/>
            </a:ext>
          </a:extLst>
        </xdr:cNvPr>
        <xdr:cNvSpPr/>
      </xdr:nvSpPr>
      <xdr:spPr>
        <a:xfrm>
          <a:off x="697255" y="19498235"/>
          <a:ext cx="2863725" cy="470647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149412</xdr:colOff>
      <xdr:row>72</xdr:row>
      <xdr:rowOff>49804</xdr:rowOff>
    </xdr:from>
    <xdr:to>
      <xdr:col>17</xdr:col>
      <xdr:colOff>24902</xdr:colOff>
      <xdr:row>87</xdr:row>
      <xdr:rowOff>273922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DA09D10-1375-DC4C-B3BB-09CE5241E347}"/>
            </a:ext>
          </a:extLst>
        </xdr:cNvPr>
        <xdr:cNvSpPr/>
      </xdr:nvSpPr>
      <xdr:spPr>
        <a:xfrm>
          <a:off x="3511177" y="30330588"/>
          <a:ext cx="2863725" cy="470647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rxiv.org/pdf/2512.24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71A0-CBBA-5C4B-AC49-C0E2852CC7F2}">
  <sheetPr codeName="Sheet6"/>
  <dimension ref="A1:BX601"/>
  <sheetViews>
    <sheetView zoomScaleNormal="100" workbookViewId="0">
      <selection activeCell="A26" sqref="A26"/>
    </sheetView>
  </sheetViews>
  <sheetFormatPr defaultColWidth="4.875" defaultRowHeight="24" customHeight="1"/>
  <cols>
    <col min="24" max="24" width="4.875" customWidth="1"/>
  </cols>
  <sheetData>
    <row r="1" spans="1:36" s="55" customFormat="1" ht="63">
      <c r="A1" s="54" t="s">
        <v>0</v>
      </c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</row>
    <row r="2" spans="1:36" ht="24" customHeight="1">
      <c r="A2" s="17" t="s">
        <v>1</v>
      </c>
    </row>
    <row r="3" spans="1:36" ht="24" customHeight="1">
      <c r="A3" s="17"/>
    </row>
    <row r="4" spans="1:36" ht="24" customHeight="1">
      <c r="A4" s="57" t="s">
        <v>2</v>
      </c>
      <c r="B4" s="58"/>
      <c r="C4" s="58"/>
      <c r="D4" s="58"/>
    </row>
    <row r="5" spans="1:36" ht="24" customHeight="1">
      <c r="B5" s="59" t="str" cm="1">
        <f t="array" ref="B5:B18">_xlfn._xlws.FILTER("A" &amp; ROW(A:A), LEFT(A:A,1)="#")</f>
        <v>A23</v>
      </c>
      <c r="C5" s="60" t="str">
        <f t="shared" ref="C5:C18" si="0">HYPERLINK("#"&amp;B5, _xlfn.UNICHAR(128279))</f>
        <v>🔗</v>
      </c>
      <c r="D5" t="str" cm="1">
        <f t="array" aca="1" ref="D5" ca="1">_xlfn.LET(
  _xlpm.n, INDIRECT(B5),
  _xlpm.indent, 9,
  _xlpm.k, LEN(_xlpm.n) - LEN(SUBSTITUTE(_xlpm.n,"#","")),
  IF(_xlpm.k&gt;=2, REPT(" ", _xlpm.indent*(_xlpm.k-1)) &amp; _xlpm.n, _xlpm.n)
)</f>
        <v># 1. Residual Connection</v>
      </c>
    </row>
    <row r="6" spans="1:36" ht="24" customHeight="1">
      <c r="B6" s="59" t="str">
        <v>A25</v>
      </c>
      <c r="C6" s="60" t="str">
        <f t="shared" si="0"/>
        <v>🔗</v>
      </c>
      <c r="D6" t="str" cm="1">
        <f t="array" aca="1" ref="D6" ca="1">_xlfn.LET(
  _xlpm.n, INDIRECT(B6),
  _xlpm.indent, 9,
  _xlpm.k, LEN(_xlpm.n) - LEN(SUBSTITUTE(_xlpm.n,"#","")),
  IF(_xlpm.k&gt;=2, REPT(" ", _xlpm.indent*(_xlpm.k-1)) &amp; _xlpm.n, _xlpm.n)
)</f>
        <v xml:space="preserve">         ## Layer</v>
      </c>
    </row>
    <row r="7" spans="1:36" ht="24" customHeight="1">
      <c r="B7" s="59" t="str">
        <v>A61</v>
      </c>
      <c r="C7" s="60" t="str">
        <f t="shared" si="0"/>
        <v>🔗</v>
      </c>
      <c r="D7" t="str" cm="1">
        <f t="array" aca="1" ref="D7" ca="1">_xlfn.LET(
  _xlpm.n, INDIRECT(B7),
  _xlpm.indent, 9,
  _xlpm.k, LEN(_xlpm.n) - LEN(SUBSTITUTE(_xlpm.n,"#","")),
  IF(_xlpm.k&gt;=2, REPT(" ", _xlpm.indent*(_xlpm.k-1)) &amp; _xlpm.n, _xlpm.n)
)</f>
        <v xml:space="preserve">         ## Residual Connection</v>
      </c>
    </row>
    <row r="8" spans="1:36" ht="24" customHeight="1">
      <c r="B8" s="59" t="str">
        <v>A108</v>
      </c>
      <c r="C8" s="60" t="str">
        <f t="shared" si="0"/>
        <v>🔗</v>
      </c>
      <c r="D8" t="str" cm="1">
        <f t="array" aca="1" ref="D8" ca="1">_xlfn.LET(
  _xlpm.n, INDIRECT(B8),
  _xlpm.indent, 9,
  _xlpm.k, LEN(_xlpm.n) - LEN(SUBSTITUTE(_xlpm.n,"#","")),
  IF(_xlpm.k&gt;=2, REPT(" ", _xlpm.indent*(_xlpm.k-1)) &amp; _xlpm.n, _xlpm.n)
)</f>
        <v># 2. Hyper Connections</v>
      </c>
    </row>
    <row r="9" spans="1:36" ht="24" customHeight="1">
      <c r="B9" s="59" t="str">
        <v>A110</v>
      </c>
      <c r="C9" s="60" t="str">
        <f t="shared" si="0"/>
        <v>🔗</v>
      </c>
      <c r="D9" t="str" cm="1">
        <f t="array" aca="1" ref="D9" ca="1">_xlfn.LET(
  _xlpm.n, INDIRECT(B9),
  _xlpm.indent, 9,
  _xlpm.k, LEN(_xlpm.n) - LEN(SUBSTITUTE(_xlpm.n,"#","")),
  IF(_xlpm.k&gt;=2, REPT(" ", _xlpm.indent*(_xlpm.k-1)) &amp; _xlpm.n, _xlpm.n)
)</f>
        <v xml:space="preserve">         ## Multiple Streams</v>
      </c>
    </row>
    <row r="10" spans="1:36" ht="24" customHeight="1">
      <c r="B10" s="59" t="str">
        <v>A169</v>
      </c>
      <c r="C10" s="60" t="str">
        <f t="shared" si="0"/>
        <v>🔗</v>
      </c>
      <c r="D10" t="str" cm="1">
        <f t="array" aca="1" ref="D10" ca="1">_xlfn.LET(
  _xlpm.n, INDIRECT(B10),
  _xlpm.indent, 9,
  _xlpm.k, LEN(_xlpm.n) - LEN(SUBSTITUTE(_xlpm.n,"#","")),
  IF(_xlpm.k&gt;=2, REPT(" ", _xlpm.indent*(_xlpm.k-1)) &amp; _xlpm.n, _xlpm.n)
)</f>
        <v xml:space="preserve">         ## Static Mapping (n -&gt; 1) </v>
      </c>
    </row>
    <row r="11" spans="1:36" ht="24" customHeight="1">
      <c r="B11" s="59" t="str">
        <v>A183</v>
      </c>
      <c r="C11" s="60" t="str">
        <f t="shared" si="0"/>
        <v>🔗</v>
      </c>
      <c r="D11" t="str" cm="1">
        <f t="array" aca="1" ref="D11" ca="1">_xlfn.LET(
  _xlpm.n, INDIRECT(B11),
  _xlpm.indent, 9,
  _xlpm.k, LEN(_xlpm.n) - LEN(SUBSTITUTE(_xlpm.n,"#","")),
  IF(_xlpm.k&gt;=2, REPT(" ", _xlpm.indent*(_xlpm.k-1)) &amp; _xlpm.n, _xlpm.n)
)</f>
        <v xml:space="preserve">         ## Dynamic Mapping (n -&gt; 1)</v>
      </c>
    </row>
    <row r="12" spans="1:36" ht="24" customHeight="1">
      <c r="B12" s="59" t="str">
        <v>A211</v>
      </c>
      <c r="C12" s="60" t="str">
        <f t="shared" si="0"/>
        <v>🔗</v>
      </c>
      <c r="D12" t="str" cm="1">
        <f t="array" aca="1" ref="D12" ca="1">_xlfn.LET(
  _xlpm.n, INDIRECT(B12),
  _xlpm.indent, 9,
  _xlpm.k, LEN(_xlpm.n) - LEN(SUBSTITUTE(_xlpm.n,"#","")),
  IF(_xlpm.k&gt;=2, REPT(" ", _xlpm.indent*(_xlpm.k-1)) &amp; _xlpm.n, _xlpm.n)
)</f>
        <v xml:space="preserve">         ## Static Mapping (1 -&gt; n) </v>
      </c>
    </row>
    <row r="13" spans="1:36" ht="24" customHeight="1">
      <c r="B13" s="59" t="str">
        <v>A242</v>
      </c>
      <c r="C13" s="60" t="str">
        <f t="shared" si="0"/>
        <v>🔗</v>
      </c>
      <c r="D13" t="str" cm="1">
        <f t="array" aca="1" ref="D13" ca="1">_xlfn.LET(
  _xlpm.n, INDIRECT(B13),
  _xlpm.indent, 9,
  _xlpm.k, LEN(_xlpm.n) - LEN(SUBSTITUTE(_xlpm.n,"#","")),
  IF(_xlpm.k&gt;=2, REPT(" ", _xlpm.indent*(_xlpm.k-1)) &amp; _xlpm.n, _xlpm.n)
)</f>
        <v xml:space="preserve">         ## Dynamic Mapping (1 -&gt; n) </v>
      </c>
    </row>
    <row r="14" spans="1:36" ht="24" customHeight="1">
      <c r="B14" s="59" t="str">
        <v>A273</v>
      </c>
      <c r="C14" s="60" t="str">
        <f t="shared" si="0"/>
        <v>🔗</v>
      </c>
      <c r="D14" t="str" cm="1">
        <f t="array" aca="1" ref="D14" ca="1">_xlfn.LET(
  _xlpm.n, INDIRECT(B14),
  _xlpm.indent, 9,
  _xlpm.k, LEN(_xlpm.n) - LEN(SUBSTITUTE(_xlpm.n,"#","")),
  IF(_xlpm.k&gt;=2, REPT(" ", _xlpm.indent*(_xlpm.k-1)) &amp; _xlpm.n, _xlpm.n)
)</f>
        <v xml:space="preserve">         ## Static Mapping (n -&gt; n) </v>
      </c>
    </row>
    <row r="15" spans="1:36" ht="24" customHeight="1">
      <c r="B15" s="59" t="str">
        <v>A286</v>
      </c>
      <c r="C15" s="60" t="str">
        <f t="shared" si="0"/>
        <v>🔗</v>
      </c>
      <c r="D15" t="str" cm="1">
        <f t="array" aca="1" ref="D15" ca="1">_xlfn.LET(
  _xlpm.n, INDIRECT(B15),
  _xlpm.indent, 9,
  _xlpm.k, LEN(_xlpm.n) - LEN(SUBSTITUTE(_xlpm.n,"#","")),
  IF(_xlpm.k&gt;=2, REPT(" ", _xlpm.indent*(_xlpm.k-1)) &amp; _xlpm.n, _xlpm.n)
)</f>
        <v xml:space="preserve">         ## Dynamic Mapping (n -&gt; n) </v>
      </c>
    </row>
    <row r="16" spans="1:36" ht="24" customHeight="1">
      <c r="B16" s="59" t="str">
        <v>A322</v>
      </c>
      <c r="C16" s="60" t="str">
        <f t="shared" si="0"/>
        <v>🔗</v>
      </c>
      <c r="D16" t="str" cm="1">
        <f t="array" aca="1" ref="D16" ca="1">_xlfn.LET(
  _xlpm.n, INDIRECT(B16),
  _xlpm.indent, 9,
  _xlpm.k, LEN(_xlpm.n) - LEN(SUBSTITUTE(_xlpm.n,"#","")),
  IF(_xlpm.k&gt;=2, REPT(" ", _xlpm.indent*(_xlpm.k-1)) &amp; _xlpm.n, _xlpm.n)
)</f>
        <v># 3. Manifold Constrained</v>
      </c>
    </row>
    <row r="17" spans="1:11" ht="24" customHeight="1">
      <c r="B17" s="59" t="str">
        <v>A343</v>
      </c>
      <c r="C17" s="60" t="str">
        <f t="shared" si="0"/>
        <v>🔗</v>
      </c>
      <c r="D17" t="str" cm="1">
        <f t="array" aca="1" ref="D17" ca="1">_xlfn.LET(
  _xlpm.n, INDIRECT(B17),
  _xlpm.indent, 9,
  _xlpm.k, LEN(_xlpm.n) - LEN(SUBSTITUTE(_xlpm.n,"#","")),
  IF(_xlpm.k&gt;=2, REPT(" ", _xlpm.indent*(_xlpm.k-1)) &amp; _xlpm.n, _xlpm.n)
)</f>
        <v xml:space="preserve">         ## Sinkhorn-Knopp Algorithm</v>
      </c>
    </row>
    <row r="18" spans="1:11" ht="24" customHeight="1">
      <c r="B18" s="59" t="str">
        <v>A432</v>
      </c>
      <c r="C18" s="60" t="str">
        <f t="shared" si="0"/>
        <v>🔗</v>
      </c>
      <c r="D18" t="str" cm="1">
        <f t="array" aca="1" ref="D18" ca="1">_xlfn.LET(
  _xlpm.n, INDIRECT(B18),
  _xlpm.indent, 9,
  _xlpm.k, LEN(_xlpm.n) - LEN(SUBSTITUTE(_xlpm.n,"#","")),
  IF(_xlpm.k&gt;=2, REPT(" ", _xlpm.indent*(_xlpm.k-1)) &amp; _xlpm.n, _xlpm.n)
)</f>
        <v># 4. Complete Architecture</v>
      </c>
    </row>
    <row r="19" spans="1:11" ht="24" customHeight="1">
      <c r="A19" s="17"/>
    </row>
    <row r="20" spans="1:11" ht="24" customHeight="1">
      <c r="A20" s="17"/>
    </row>
    <row r="21" spans="1:11" ht="24" customHeight="1">
      <c r="A21" s="17"/>
    </row>
    <row r="22" spans="1:11" ht="24" customHeight="1">
      <c r="J22" s="25"/>
      <c r="K22" s="43"/>
    </row>
    <row r="23" spans="1:11" s="48" customFormat="1" ht="36.950000000000003">
      <c r="A23" s="48" t="s">
        <v>3</v>
      </c>
    </row>
    <row r="24" spans="1:11" ht="24" customHeight="1">
      <c r="J24" s="25"/>
      <c r="K24" s="43"/>
    </row>
    <row r="25" spans="1:11" s="40" customFormat="1" ht="27">
      <c r="A25" s="40" t="s">
        <v>4</v>
      </c>
    </row>
    <row r="26" spans="1:11" ht="24" customHeight="1">
      <c r="A26" s="17" t="str">
        <f>HYPERLINK("#A1","[top]")</f>
        <v>[top]</v>
      </c>
    </row>
    <row r="29" spans="1:11" ht="24" customHeight="1">
      <c r="E29" s="32" t="s">
        <v>5</v>
      </c>
    </row>
    <row r="30" spans="1:11" ht="24" customHeight="1">
      <c r="E30" s="25">
        <v>1</v>
      </c>
      <c r="F30" s="29">
        <v>3</v>
      </c>
    </row>
    <row r="31" spans="1:11" ht="24" customHeight="1">
      <c r="E31" s="25">
        <v>2</v>
      </c>
      <c r="F31" s="30">
        <v>2</v>
      </c>
    </row>
    <row r="32" spans="1:11" ht="24" customHeight="1">
      <c r="E32" s="25">
        <v>3</v>
      </c>
      <c r="F32" s="30">
        <v>4</v>
      </c>
    </row>
    <row r="33" spans="5:6" ht="24" customHeight="1">
      <c r="E33" s="25">
        <v>4</v>
      </c>
      <c r="F33" s="30">
        <v>1</v>
      </c>
    </row>
    <row r="34" spans="5:6" ht="24" customHeight="1">
      <c r="E34" s="25">
        <v>5</v>
      </c>
      <c r="F34" s="31">
        <v>5</v>
      </c>
    </row>
    <row r="36" spans="5:6" ht="24" customHeight="1">
      <c r="F36" s="26" t="s">
        <v>6</v>
      </c>
    </row>
    <row r="37" spans="5:6" ht="24" customHeight="1">
      <c r="E37" s="32" t="s">
        <v>5</v>
      </c>
    </row>
    <row r="38" spans="5:6" ht="24" customHeight="1">
      <c r="E38" s="25">
        <v>1</v>
      </c>
      <c r="F38" s="22" cm="1">
        <f t="array" ref="F38:F42">F30:F34</f>
        <v>3</v>
      </c>
    </row>
    <row r="39" spans="5:6" ht="24" customHeight="1">
      <c r="E39" s="25">
        <v>2</v>
      </c>
      <c r="F39" s="23">
        <v>2</v>
      </c>
    </row>
    <row r="40" spans="5:6" ht="24" customHeight="1">
      <c r="E40" s="25">
        <v>3</v>
      </c>
      <c r="F40" s="23">
        <v>4</v>
      </c>
    </row>
    <row r="41" spans="5:6" ht="24" customHeight="1">
      <c r="E41" s="25">
        <v>4</v>
      </c>
      <c r="F41" s="23">
        <v>1</v>
      </c>
    </row>
    <row r="42" spans="5:6" ht="24" customHeight="1">
      <c r="E42" s="25">
        <v>5</v>
      </c>
      <c r="F42" s="24">
        <v>5</v>
      </c>
    </row>
    <row r="43" spans="5:6" ht="24" customHeight="1">
      <c r="F43" s="26" t="s">
        <v>6</v>
      </c>
    </row>
    <row r="44" spans="5:6" ht="24" customHeight="1">
      <c r="F44" s="18"/>
    </row>
    <row r="45" spans="5:6" ht="24" customHeight="1">
      <c r="F45" s="26" t="s">
        <v>6</v>
      </c>
    </row>
    <row r="46" spans="5:6" ht="24" customHeight="1">
      <c r="E46" s="32" t="s">
        <v>5</v>
      </c>
    </row>
    <row r="47" spans="5:6" ht="24" customHeight="1">
      <c r="E47" s="25">
        <v>1</v>
      </c>
      <c r="F47" s="22">
        <v>7</v>
      </c>
    </row>
    <row r="48" spans="5:6" ht="24" customHeight="1">
      <c r="E48" s="25">
        <v>2</v>
      </c>
      <c r="F48" s="23">
        <v>3</v>
      </c>
    </row>
    <row r="49" spans="1:6" ht="24" customHeight="1">
      <c r="E49" s="25">
        <v>3</v>
      </c>
      <c r="F49" s="23">
        <v>6</v>
      </c>
    </row>
    <row r="50" spans="1:6" ht="24" customHeight="1">
      <c r="E50" s="25">
        <v>4</v>
      </c>
      <c r="F50" s="23">
        <v>4</v>
      </c>
    </row>
    <row r="51" spans="1:6" ht="24" customHeight="1">
      <c r="E51" s="25">
        <v>5</v>
      </c>
      <c r="F51" s="24">
        <v>6</v>
      </c>
    </row>
    <row r="52" spans="1:6" ht="24" customHeight="1">
      <c r="F52" s="26"/>
    </row>
    <row r="53" spans="1:6" ht="24" customHeight="1">
      <c r="F53" s="26" t="s">
        <v>6</v>
      </c>
    </row>
    <row r="54" spans="1:6" ht="24" customHeight="1">
      <c r="E54" s="32" t="s">
        <v>5</v>
      </c>
    </row>
    <row r="55" spans="1:6" ht="24" customHeight="1">
      <c r="E55" s="25">
        <v>1</v>
      </c>
      <c r="F55" s="29" cm="1">
        <f t="array" ref="F55:F59">F47:F51</f>
        <v>7</v>
      </c>
    </row>
    <row r="56" spans="1:6" ht="24" customHeight="1">
      <c r="E56" s="25">
        <v>2</v>
      </c>
      <c r="F56" s="30">
        <v>3</v>
      </c>
    </row>
    <row r="57" spans="1:6" ht="24" customHeight="1">
      <c r="E57" s="25">
        <v>3</v>
      </c>
      <c r="F57" s="30">
        <v>6</v>
      </c>
    </row>
    <row r="58" spans="1:6" ht="24" customHeight="1">
      <c r="E58" s="25">
        <v>4</v>
      </c>
      <c r="F58" s="30">
        <v>4</v>
      </c>
    </row>
    <row r="59" spans="1:6" ht="24" customHeight="1">
      <c r="E59" s="25">
        <v>5</v>
      </c>
      <c r="F59" s="31">
        <v>6</v>
      </c>
    </row>
    <row r="61" spans="1:6" s="40" customFormat="1" ht="27">
      <c r="A61" s="40" t="s">
        <v>7</v>
      </c>
    </row>
    <row r="62" spans="1:6" ht="24" customHeight="1">
      <c r="A62" s="17" t="str">
        <f>HYPERLINK("#A1","[top]")</f>
        <v>[top]</v>
      </c>
    </row>
    <row r="65" spans="5:14" ht="24" customHeight="1">
      <c r="E65" s="32" t="s">
        <v>5</v>
      </c>
    </row>
    <row r="66" spans="5:14" ht="24" customHeight="1">
      <c r="E66" s="25">
        <v>1</v>
      </c>
      <c r="F66" s="29">
        <v>3</v>
      </c>
    </row>
    <row r="67" spans="5:14" ht="24" customHeight="1">
      <c r="E67" s="25">
        <v>2</v>
      </c>
      <c r="F67" s="30">
        <v>2</v>
      </c>
    </row>
    <row r="68" spans="5:14" ht="24" customHeight="1">
      <c r="E68" s="25">
        <v>3</v>
      </c>
      <c r="F68" s="30">
        <v>4</v>
      </c>
    </row>
    <row r="69" spans="5:14" ht="24" customHeight="1">
      <c r="E69" s="25">
        <v>4</v>
      </c>
      <c r="F69" s="30">
        <v>1</v>
      </c>
    </row>
    <row r="70" spans="5:14" ht="24" customHeight="1">
      <c r="E70" s="25">
        <v>5</v>
      </c>
      <c r="F70" s="31">
        <v>5</v>
      </c>
    </row>
    <row r="72" spans="5:14" ht="24" customHeight="1">
      <c r="F72" s="26" t="s">
        <v>6</v>
      </c>
      <c r="N72" s="26" t="s">
        <v>6</v>
      </c>
    </row>
    <row r="73" spans="5:14" ht="24" customHeight="1">
      <c r="M73" s="32" t="s">
        <v>5</v>
      </c>
    </row>
    <row r="74" spans="5:14" ht="24" customHeight="1">
      <c r="M74" s="25">
        <v>1</v>
      </c>
      <c r="N74" s="22">
        <v>3</v>
      </c>
    </row>
    <row r="75" spans="5:14" ht="24" customHeight="1">
      <c r="M75" s="25">
        <v>2</v>
      </c>
      <c r="N75" s="23">
        <v>2</v>
      </c>
    </row>
    <row r="76" spans="5:14" ht="24" customHeight="1">
      <c r="M76" s="25">
        <v>3</v>
      </c>
      <c r="N76" s="23">
        <v>4</v>
      </c>
    </row>
    <row r="77" spans="5:14" ht="24" customHeight="1">
      <c r="M77" s="25">
        <v>4</v>
      </c>
      <c r="N77" s="23">
        <v>1</v>
      </c>
    </row>
    <row r="78" spans="5:14" ht="24" customHeight="1">
      <c r="M78" s="25">
        <v>5</v>
      </c>
      <c r="N78" s="24">
        <v>5</v>
      </c>
    </row>
    <row r="79" spans="5:14" ht="24" customHeight="1">
      <c r="N79" s="26" t="s">
        <v>6</v>
      </c>
    </row>
    <row r="80" spans="5:14" ht="24" customHeight="1">
      <c r="N80" s="18"/>
    </row>
    <row r="81" spans="5:14" ht="24" customHeight="1">
      <c r="N81" s="26" t="s">
        <v>6</v>
      </c>
    </row>
    <row r="82" spans="5:14" ht="24" customHeight="1">
      <c r="M82" s="32" t="s">
        <v>5</v>
      </c>
    </row>
    <row r="83" spans="5:14" ht="24" customHeight="1">
      <c r="M83" s="25">
        <v>1</v>
      </c>
      <c r="N83" s="22">
        <v>4</v>
      </c>
    </row>
    <row r="84" spans="5:14" ht="24" customHeight="1">
      <c r="M84" s="25">
        <v>2</v>
      </c>
      <c r="N84" s="23">
        <v>1</v>
      </c>
    </row>
    <row r="85" spans="5:14" ht="24" customHeight="1">
      <c r="M85" s="25">
        <v>3</v>
      </c>
      <c r="N85" s="23">
        <v>2</v>
      </c>
    </row>
    <row r="86" spans="5:14" ht="24" customHeight="1">
      <c r="M86" s="25">
        <v>4</v>
      </c>
      <c r="N86" s="23">
        <v>3</v>
      </c>
    </row>
    <row r="87" spans="5:14" ht="24" customHeight="1">
      <c r="M87" s="25">
        <v>5</v>
      </c>
      <c r="N87" s="24">
        <v>1</v>
      </c>
    </row>
    <row r="88" spans="5:14" ht="24" customHeight="1">
      <c r="N88" s="26"/>
    </row>
    <row r="89" spans="5:14" ht="24" customHeight="1">
      <c r="F89" s="26" t="s">
        <v>6</v>
      </c>
      <c r="N89" s="26" t="s">
        <v>6</v>
      </c>
    </row>
    <row r="90" spans="5:14" ht="24" customHeight="1">
      <c r="E90" s="32" t="s">
        <v>5</v>
      </c>
      <c r="M90" s="32" t="s">
        <v>5</v>
      </c>
    </row>
    <row r="91" spans="5:14" ht="24" customHeight="1">
      <c r="E91" s="25">
        <v>1</v>
      </c>
      <c r="F91" s="19" cm="1">
        <f t="array" ref="F91:F95">F66:F70</f>
        <v>3</v>
      </c>
      <c r="M91" s="25">
        <v>1</v>
      </c>
      <c r="N91" s="19" cm="1">
        <f t="array" ref="N91:N95">N83:N87</f>
        <v>4</v>
      </c>
    </row>
    <row r="92" spans="5:14" ht="24" customHeight="1">
      <c r="E92" s="25">
        <v>2</v>
      </c>
      <c r="F92" s="20">
        <v>2</v>
      </c>
      <c r="M92" s="25">
        <v>2</v>
      </c>
      <c r="N92" s="20">
        <v>1</v>
      </c>
    </row>
    <row r="93" spans="5:14" ht="24" customHeight="1">
      <c r="E93" s="25">
        <v>3</v>
      </c>
      <c r="F93" s="20">
        <v>4</v>
      </c>
      <c r="M93" s="25">
        <v>3</v>
      </c>
      <c r="N93" s="20">
        <v>2</v>
      </c>
    </row>
    <row r="94" spans="5:14" ht="24" customHeight="1">
      <c r="E94" s="25">
        <v>4</v>
      </c>
      <c r="F94" s="20">
        <v>1</v>
      </c>
      <c r="M94" s="25">
        <v>4</v>
      </c>
      <c r="N94" s="20">
        <v>3</v>
      </c>
    </row>
    <row r="95" spans="5:14" ht="24" customHeight="1">
      <c r="E95" s="25">
        <v>5</v>
      </c>
      <c r="F95" s="21">
        <v>5</v>
      </c>
      <c r="M95" s="25">
        <v>5</v>
      </c>
      <c r="N95" s="21">
        <v>1</v>
      </c>
    </row>
    <row r="97" spans="1:14" ht="24" customHeight="1">
      <c r="F97" s="26" t="s">
        <v>6</v>
      </c>
      <c r="N97" s="26" t="s">
        <v>6</v>
      </c>
    </row>
    <row r="98" spans="1:14" ht="24" customHeight="1">
      <c r="F98" s="47" t="s">
        <v>8</v>
      </c>
    </row>
    <row r="99" spans="1:14" ht="24" customHeight="1">
      <c r="F99" s="26" t="s">
        <v>6</v>
      </c>
    </row>
    <row r="101" spans="1:14" ht="24" customHeight="1">
      <c r="E101" s="32" t="s">
        <v>5</v>
      </c>
    </row>
    <row r="102" spans="1:14" ht="24" customHeight="1">
      <c r="E102" s="25">
        <v>1</v>
      </c>
      <c r="F102" s="29" cm="1">
        <f t="array" ref="F102:F106">_xlfn.ANCHORARRAY(F91)+_xlfn.ANCHORARRAY(N91)</f>
        <v>7</v>
      </c>
    </row>
    <row r="103" spans="1:14" ht="24" customHeight="1">
      <c r="E103" s="25">
        <v>2</v>
      </c>
      <c r="F103" s="30">
        <v>3</v>
      </c>
    </row>
    <row r="104" spans="1:14" ht="24" customHeight="1">
      <c r="E104" s="25">
        <v>3</v>
      </c>
      <c r="F104" s="30">
        <v>6</v>
      </c>
    </row>
    <row r="105" spans="1:14" ht="24" customHeight="1">
      <c r="E105" s="25">
        <v>4</v>
      </c>
      <c r="F105" s="30">
        <v>4</v>
      </c>
    </row>
    <row r="106" spans="1:14" ht="24" customHeight="1">
      <c r="E106" s="25">
        <v>5</v>
      </c>
      <c r="F106" s="31">
        <v>6</v>
      </c>
    </row>
    <row r="108" spans="1:14" s="48" customFormat="1" ht="36.950000000000003">
      <c r="A108" s="48" t="s">
        <v>9</v>
      </c>
    </row>
    <row r="110" spans="1:14" s="40" customFormat="1" ht="27">
      <c r="A110" s="40" t="s">
        <v>10</v>
      </c>
    </row>
    <row r="111" spans="1:14" ht="24" customHeight="1">
      <c r="A111" s="17" t="str">
        <f>HYPERLINK("#A1","[top]")</f>
        <v>[top]</v>
      </c>
    </row>
    <row r="114" spans="4:14" ht="24" customHeight="1">
      <c r="E114" s="32" t="s">
        <v>11</v>
      </c>
      <c r="F114" s="25">
        <v>1</v>
      </c>
      <c r="G114" s="25">
        <v>2</v>
      </c>
    </row>
    <row r="115" spans="4:14" ht="24" customHeight="1">
      <c r="D115" s="32" t="s">
        <v>5</v>
      </c>
    </row>
    <row r="116" spans="4:14" ht="24" customHeight="1">
      <c r="D116" s="25">
        <v>1</v>
      </c>
      <c r="F116" s="29"/>
      <c r="G116" s="29"/>
    </row>
    <row r="117" spans="4:14" ht="24" customHeight="1">
      <c r="D117" s="25">
        <v>2</v>
      </c>
      <c r="F117" s="30"/>
      <c r="G117" s="30"/>
    </row>
    <row r="118" spans="4:14" ht="24" customHeight="1">
      <c r="D118" s="25">
        <v>3</v>
      </c>
      <c r="F118" s="30"/>
      <c r="G118" s="30"/>
    </row>
    <row r="119" spans="4:14" ht="24" customHeight="1">
      <c r="D119" s="25">
        <v>4</v>
      </c>
      <c r="F119" s="30"/>
      <c r="G119" s="30"/>
    </row>
    <row r="120" spans="4:14" ht="24" customHeight="1">
      <c r="D120" s="25">
        <v>5</v>
      </c>
      <c r="F120" s="31"/>
      <c r="G120" s="31"/>
    </row>
    <row r="122" spans="4:14" ht="24" customHeight="1">
      <c r="F122" s="26" t="s">
        <v>6</v>
      </c>
      <c r="N122" s="26" t="s">
        <v>6</v>
      </c>
    </row>
    <row r="123" spans="4:14" ht="24" customHeight="1">
      <c r="F123" s="47" t="s">
        <v>12</v>
      </c>
      <c r="M123" s="47" t="s">
        <v>13</v>
      </c>
    </row>
    <row r="124" spans="4:14" ht="24" customHeight="1">
      <c r="N124" s="26" t="s">
        <v>6</v>
      </c>
    </row>
    <row r="125" spans="4:14" ht="24" customHeight="1">
      <c r="E125" s="25"/>
      <c r="F125" s="25"/>
    </row>
    <row r="126" spans="4:14" ht="24" customHeight="1">
      <c r="M126" s="32" t="s">
        <v>5</v>
      </c>
    </row>
    <row r="127" spans="4:14" ht="24" customHeight="1">
      <c r="M127" s="25">
        <v>1</v>
      </c>
      <c r="N127" s="22">
        <v>3</v>
      </c>
    </row>
    <row r="128" spans="4:14" ht="24" customHeight="1">
      <c r="M128" s="25">
        <v>2</v>
      </c>
      <c r="N128" s="23">
        <v>2</v>
      </c>
    </row>
    <row r="129" spans="13:14" ht="24" customHeight="1">
      <c r="M129" s="25">
        <v>3</v>
      </c>
      <c r="N129" s="23">
        <v>4</v>
      </c>
    </row>
    <row r="130" spans="13:14" ht="24" customHeight="1">
      <c r="M130" s="25">
        <v>4</v>
      </c>
      <c r="N130" s="23">
        <v>1</v>
      </c>
    </row>
    <row r="131" spans="13:14" ht="24" customHeight="1">
      <c r="M131" s="25">
        <v>5</v>
      </c>
      <c r="N131" s="24">
        <v>5</v>
      </c>
    </row>
    <row r="132" spans="13:14" ht="24" customHeight="1">
      <c r="N132" s="26" t="s">
        <v>6</v>
      </c>
    </row>
    <row r="133" spans="13:14" ht="24" customHeight="1">
      <c r="N133" s="18"/>
    </row>
    <row r="134" spans="13:14" ht="24" customHeight="1">
      <c r="N134" s="26" t="s">
        <v>6</v>
      </c>
    </row>
    <row r="135" spans="13:14" ht="24" customHeight="1">
      <c r="M135" s="32" t="s">
        <v>5</v>
      </c>
    </row>
    <row r="136" spans="13:14" ht="24" customHeight="1">
      <c r="M136" s="25">
        <v>1</v>
      </c>
      <c r="N136" s="22">
        <v>4</v>
      </c>
    </row>
    <row r="137" spans="13:14" ht="24" customHeight="1">
      <c r="M137" s="25">
        <v>2</v>
      </c>
      <c r="N137" s="23">
        <v>1</v>
      </c>
    </row>
    <row r="138" spans="13:14" ht="24" customHeight="1">
      <c r="M138" s="25">
        <v>3</v>
      </c>
      <c r="N138" s="23">
        <v>2</v>
      </c>
    </row>
    <row r="139" spans="13:14" ht="24" customHeight="1">
      <c r="M139" s="25">
        <v>4</v>
      </c>
      <c r="N139" s="23">
        <v>3</v>
      </c>
    </row>
    <row r="140" spans="13:14" ht="24" customHeight="1">
      <c r="M140" s="25">
        <v>5</v>
      </c>
      <c r="N140" s="24">
        <v>1</v>
      </c>
    </row>
    <row r="141" spans="13:14" ht="24" customHeight="1">
      <c r="N141" s="26" t="s">
        <v>6</v>
      </c>
    </row>
    <row r="143" spans="13:14" ht="24" customHeight="1">
      <c r="M143" s="47" t="s">
        <v>14</v>
      </c>
    </row>
    <row r="145" spans="4:15" ht="24" customHeight="1">
      <c r="F145" s="26" t="s">
        <v>6</v>
      </c>
      <c r="N145" s="26" t="s">
        <v>6</v>
      </c>
    </row>
    <row r="146" spans="4:15" ht="24" customHeight="1">
      <c r="F146" s="25"/>
    </row>
    <row r="147" spans="4:15" ht="24" customHeight="1">
      <c r="E147" s="32" t="s">
        <v>11</v>
      </c>
      <c r="F147" s="25">
        <v>1</v>
      </c>
      <c r="G147" s="25">
        <v>2</v>
      </c>
      <c r="M147" s="32" t="s">
        <v>11</v>
      </c>
      <c r="N147" s="25">
        <v>1</v>
      </c>
      <c r="O147" s="25">
        <v>2</v>
      </c>
    </row>
    <row r="148" spans="4:15" ht="24" customHeight="1">
      <c r="D148" s="32" t="s">
        <v>5</v>
      </c>
      <c r="L148" s="32" t="s">
        <v>5</v>
      </c>
    </row>
    <row r="149" spans="4:15" ht="24" customHeight="1">
      <c r="D149" s="25">
        <v>1</v>
      </c>
      <c r="F149" s="19"/>
      <c r="G149" s="19"/>
      <c r="L149" s="25">
        <v>1</v>
      </c>
      <c r="M149" s="25"/>
      <c r="N149" s="19"/>
      <c r="O149" s="19"/>
    </row>
    <row r="150" spans="4:15" ht="24" customHeight="1">
      <c r="D150" s="25">
        <v>2</v>
      </c>
      <c r="F150" s="20"/>
      <c r="G150" s="20"/>
      <c r="L150" s="25">
        <v>2</v>
      </c>
      <c r="M150" s="25"/>
      <c r="N150" s="20"/>
      <c r="O150" s="20"/>
    </row>
    <row r="151" spans="4:15" ht="24" customHeight="1">
      <c r="D151" s="25">
        <v>3</v>
      </c>
      <c r="F151" s="20"/>
      <c r="G151" s="20"/>
      <c r="L151" s="25">
        <v>3</v>
      </c>
      <c r="M151" s="25"/>
      <c r="N151" s="20"/>
      <c r="O151" s="20"/>
    </row>
    <row r="152" spans="4:15" ht="24" customHeight="1">
      <c r="D152" s="25">
        <v>4</v>
      </c>
      <c r="F152" s="20"/>
      <c r="G152" s="20"/>
      <c r="L152" s="25">
        <v>4</v>
      </c>
      <c r="M152" s="25"/>
      <c r="N152" s="20"/>
      <c r="O152" s="20"/>
    </row>
    <row r="153" spans="4:15" ht="24" customHeight="1">
      <c r="D153" s="25">
        <v>5</v>
      </c>
      <c r="F153" s="21"/>
      <c r="G153" s="21"/>
      <c r="L153" s="25">
        <v>5</v>
      </c>
      <c r="M153" s="25"/>
      <c r="N153" s="21"/>
      <c r="O153" s="21"/>
    </row>
    <row r="155" spans="4:15" ht="24" customHeight="1">
      <c r="F155" s="26" t="s">
        <v>6</v>
      </c>
      <c r="N155" s="26" t="s">
        <v>6</v>
      </c>
    </row>
    <row r="156" spans="4:15" ht="24" customHeight="1">
      <c r="F156" s="47" t="s">
        <v>8</v>
      </c>
    </row>
    <row r="157" spans="4:15" ht="24" customHeight="1">
      <c r="F157" s="26" t="s">
        <v>6</v>
      </c>
    </row>
    <row r="158" spans="4:15" ht="24" customHeight="1">
      <c r="E158" s="32" t="s">
        <v>11</v>
      </c>
      <c r="F158" s="25">
        <v>1</v>
      </c>
      <c r="G158" s="25">
        <v>2</v>
      </c>
    </row>
    <row r="159" spans="4:15" ht="24" customHeight="1">
      <c r="D159" s="32" t="s">
        <v>5</v>
      </c>
    </row>
    <row r="160" spans="4:15" ht="24" customHeight="1">
      <c r="D160" s="25">
        <v>1</v>
      </c>
      <c r="F160" s="29"/>
      <c r="G160" s="29"/>
    </row>
    <row r="161" spans="1:14" ht="24" customHeight="1">
      <c r="D161" s="25">
        <v>2</v>
      </c>
      <c r="F161" s="30"/>
      <c r="G161" s="30"/>
    </row>
    <row r="162" spans="1:14" ht="24" customHeight="1">
      <c r="D162" s="25">
        <v>3</v>
      </c>
      <c r="F162" s="30"/>
      <c r="G162" s="30"/>
    </row>
    <row r="163" spans="1:14" ht="24" customHeight="1">
      <c r="D163" s="25">
        <v>4</v>
      </c>
      <c r="F163" s="30"/>
      <c r="G163" s="30"/>
    </row>
    <row r="164" spans="1:14" ht="24" customHeight="1">
      <c r="D164" s="25">
        <v>5</v>
      </c>
      <c r="F164" s="31"/>
      <c r="G164" s="31"/>
    </row>
    <row r="169" spans="1:14" s="40" customFormat="1" ht="27">
      <c r="A169" s="40" t="s">
        <v>15</v>
      </c>
    </row>
    <row r="170" spans="1:14" ht="24" customHeight="1">
      <c r="A170" s="17" t="str">
        <f>HYPERLINK("#A1","[top]")</f>
        <v>[top]</v>
      </c>
    </row>
    <row r="172" spans="1:14" ht="24" customHeight="1">
      <c r="L172" s="33"/>
      <c r="N172" s="33"/>
    </row>
    <row r="173" spans="1:14" ht="24" customHeight="1">
      <c r="N173" s="41">
        <v>0.6</v>
      </c>
    </row>
    <row r="174" spans="1:14" ht="24" customHeight="1">
      <c r="H174" s="32" t="s">
        <v>11</v>
      </c>
      <c r="I174" s="25">
        <v>1</v>
      </c>
      <c r="J174" s="25">
        <v>2</v>
      </c>
      <c r="N174" s="42">
        <v>0.4</v>
      </c>
    </row>
    <row r="175" spans="1:14" ht="24" customHeight="1">
      <c r="H175" s="32" t="s">
        <v>5</v>
      </c>
      <c r="N175" s="33" t="s">
        <v>6</v>
      </c>
    </row>
    <row r="176" spans="1:14" ht="24" customHeight="1">
      <c r="H176" s="25">
        <v>1</v>
      </c>
      <c r="I176" s="29">
        <v>1</v>
      </c>
      <c r="J176" s="29">
        <v>1</v>
      </c>
      <c r="K176" s="27" t="s">
        <v>16</v>
      </c>
      <c r="N176" s="19" cm="1">
        <f t="array" ref="N176:N180">MMULT(I176:J180,N173:N174)</f>
        <v>1</v>
      </c>
    </row>
    <row r="177" spans="1:14" ht="24" customHeight="1">
      <c r="H177" s="25">
        <v>2</v>
      </c>
      <c r="I177" s="30">
        <v>2</v>
      </c>
      <c r="J177" s="30">
        <v>2</v>
      </c>
      <c r="K177" s="27" t="s">
        <v>16</v>
      </c>
      <c r="N177" s="20">
        <v>2</v>
      </c>
    </row>
    <row r="178" spans="1:14" ht="24" customHeight="1">
      <c r="H178" s="25">
        <v>3</v>
      </c>
      <c r="I178" s="30">
        <v>2</v>
      </c>
      <c r="J178" s="30">
        <v>2</v>
      </c>
      <c r="K178" s="27" t="s">
        <v>16</v>
      </c>
      <c r="N178" s="20">
        <v>2</v>
      </c>
    </row>
    <row r="179" spans="1:14" ht="24" customHeight="1">
      <c r="H179" s="25">
        <v>4</v>
      </c>
      <c r="I179" s="30">
        <v>4</v>
      </c>
      <c r="J179" s="30">
        <v>6</v>
      </c>
      <c r="K179" s="27" t="s">
        <v>16</v>
      </c>
      <c r="N179" s="20">
        <v>4.8000000000000007</v>
      </c>
    </row>
    <row r="180" spans="1:14" ht="24" customHeight="1">
      <c r="H180" s="25">
        <v>5</v>
      </c>
      <c r="I180" s="31">
        <v>3</v>
      </c>
      <c r="J180" s="31">
        <v>2</v>
      </c>
      <c r="K180" s="27" t="s">
        <v>16</v>
      </c>
      <c r="N180" s="21">
        <v>2.5999999999999996</v>
      </c>
    </row>
    <row r="183" spans="1:14" s="40" customFormat="1" ht="27">
      <c r="A183" s="40" t="s">
        <v>17</v>
      </c>
    </row>
    <row r="184" spans="1:14" ht="24" customHeight="1">
      <c r="A184" s="17" t="str">
        <f>HYPERLINK("#A1","[top]")</f>
        <v>[top]</v>
      </c>
    </row>
    <row r="187" spans="1:14" ht="24" customHeight="1">
      <c r="N187" s="19" cm="1">
        <f t="array" ref="N187:N191">I205:I209</f>
        <v>1</v>
      </c>
    </row>
    <row r="188" spans="1:14" ht="24" customHeight="1">
      <c r="N188" s="20">
        <v>3</v>
      </c>
    </row>
    <row r="189" spans="1:14" ht="24" customHeight="1">
      <c r="N189" s="20">
        <v>1</v>
      </c>
    </row>
    <row r="190" spans="1:14" ht="24" customHeight="1">
      <c r="N190" s="20">
        <v>4</v>
      </c>
    </row>
    <row r="191" spans="1:14" ht="24" customHeight="1">
      <c r="N191" s="21">
        <v>3</v>
      </c>
    </row>
    <row r="192" spans="1:14" ht="24" customHeight="1">
      <c r="N192" s="19" cm="1">
        <f t="array" ref="N192:N196">J205:J209</f>
        <v>1</v>
      </c>
    </row>
    <row r="193" spans="3:14" ht="24" customHeight="1">
      <c r="N193" s="20">
        <v>2</v>
      </c>
    </row>
    <row r="194" spans="3:14" ht="24" customHeight="1">
      <c r="N194" s="20">
        <v>2</v>
      </c>
    </row>
    <row r="195" spans="3:14" ht="24" customHeight="1">
      <c r="N195" s="20">
        <v>3</v>
      </c>
    </row>
    <row r="196" spans="3:14" ht="24" customHeight="1">
      <c r="N196" s="21">
        <v>2</v>
      </c>
    </row>
    <row r="197" spans="3:14" ht="24" customHeight="1">
      <c r="N197" s="33" t="s">
        <v>6</v>
      </c>
    </row>
    <row r="198" spans="3:14" ht="24" customHeight="1">
      <c r="C198" s="28" cm="1">
        <f t="array" aca="1" ref="C198:L199" ca="1">_xlfn.RANDARRAY(2,10)-0.5</f>
        <v>0.19957870383942988</v>
      </c>
      <c r="D198" s="28">
        <f ca="1"/>
        <v>-0.30999385733773099</v>
      </c>
      <c r="E198" s="28">
        <f ca="1"/>
        <v>0.27804439597428843</v>
      </c>
      <c r="F198" s="28">
        <f ca="1"/>
        <v>-6.386849208115164E-2</v>
      </c>
      <c r="G198" s="28">
        <f ca="1"/>
        <v>8.3654252368517312E-2</v>
      </c>
      <c r="H198" s="28">
        <f ca="1"/>
        <v>2.1887788134298036E-2</v>
      </c>
      <c r="I198" s="28">
        <f ca="1"/>
        <v>0.23318896199908257</v>
      </c>
      <c r="J198" s="28">
        <f ca="1"/>
        <v>-0.47815092584209973</v>
      </c>
      <c r="K198" s="28">
        <f ca="1"/>
        <v>-0.13276455139431875</v>
      </c>
      <c r="L198" s="28">
        <f ca="1"/>
        <v>0.12114385331406208</v>
      </c>
      <c r="M198" s="27" t="s">
        <v>16</v>
      </c>
      <c r="N198" s="19" cm="1">
        <f t="array" aca="1" ref="N198:N199" ca="1">MMULT(C198:L199,N187:N196)</f>
        <v>-1.0809117705250977</v>
      </c>
    </row>
    <row r="199" spans="3:14" ht="24" customHeight="1">
      <c r="C199" s="28">
        <f ca="1"/>
        <v>-0.34640046050278617</v>
      </c>
      <c r="D199" s="28">
        <f ca="1"/>
        <v>7.6601163499563363E-3</v>
      </c>
      <c r="E199" s="28">
        <f ca="1"/>
        <v>-0.35765832702013278</v>
      </c>
      <c r="F199" s="28">
        <f ca="1"/>
        <v>-0.29178744287170311</v>
      </c>
      <c r="G199" s="28">
        <f ca="1"/>
        <v>0.17608985927635445</v>
      </c>
      <c r="H199" s="28">
        <f ca="1"/>
        <v>7.9479432884691059E-2</v>
      </c>
      <c r="I199" s="28">
        <f ca="1"/>
        <v>-0.29730189804489471</v>
      </c>
      <c r="J199" s="28">
        <f ca="1"/>
        <v>0.32092702371135284</v>
      </c>
      <c r="K199" s="28">
        <f ca="1"/>
        <v>0.46830324112721877</v>
      </c>
      <c r="L199" s="28">
        <f ca="1"/>
        <v>-0.48332929719576434</v>
      </c>
      <c r="M199" s="27" t="s">
        <v>16</v>
      </c>
      <c r="N199" s="21">
        <f ca="1"/>
        <v>-0.75497781892306404</v>
      </c>
    </row>
    <row r="201" spans="3:14" ht="24" customHeight="1">
      <c r="L201" t="s">
        <v>18</v>
      </c>
      <c r="N201" s="33" t="s">
        <v>6</v>
      </c>
    </row>
    <row r="202" spans="3:14" ht="24" customHeight="1">
      <c r="N202" s="19" cm="1">
        <f t="array" aca="1" ref="N202:N203" ca="1">_xlfn.LET(_xlpm.x,_xlfn.ANCHORARRAY(N198),1/(1+EXP(-_xlpm.x)))</f>
        <v>0.25333351133700172</v>
      </c>
    </row>
    <row r="203" spans="3:14" ht="24" customHeight="1">
      <c r="H203" s="32" t="s">
        <v>11</v>
      </c>
      <c r="I203" s="25">
        <v>1</v>
      </c>
      <c r="J203" s="25">
        <v>2</v>
      </c>
      <c r="N203" s="21">
        <f ca="1"/>
        <v>0.31973762778778403</v>
      </c>
    </row>
    <row r="204" spans="3:14" ht="24" customHeight="1">
      <c r="H204" s="32" t="s">
        <v>5</v>
      </c>
      <c r="N204" s="33" t="s">
        <v>6</v>
      </c>
    </row>
    <row r="205" spans="3:14" ht="24" customHeight="1">
      <c r="H205" s="25">
        <v>1</v>
      </c>
      <c r="I205" s="29">
        <v>1</v>
      </c>
      <c r="J205" s="29">
        <v>1</v>
      </c>
      <c r="K205" s="27" t="s">
        <v>16</v>
      </c>
      <c r="N205" s="19" cm="1">
        <f t="array" aca="1" ref="N205:N209" ca="1">MMULT(I205:J209,_xlfn.ANCHORARRAY(N202))</f>
        <v>0.5730711391247858</v>
      </c>
    </row>
    <row r="206" spans="3:14" ht="24" customHeight="1">
      <c r="H206" s="25">
        <v>2</v>
      </c>
      <c r="I206" s="30">
        <v>3</v>
      </c>
      <c r="J206" s="30">
        <v>2</v>
      </c>
      <c r="K206" s="27" t="s">
        <v>16</v>
      </c>
      <c r="N206" s="20">
        <f ca="1"/>
        <v>1.3994757895865733</v>
      </c>
    </row>
    <row r="207" spans="3:14" ht="24" customHeight="1">
      <c r="H207" s="25">
        <v>3</v>
      </c>
      <c r="I207" s="30">
        <v>1</v>
      </c>
      <c r="J207" s="30">
        <v>2</v>
      </c>
      <c r="K207" s="27" t="s">
        <v>16</v>
      </c>
      <c r="N207" s="20">
        <f ca="1"/>
        <v>0.89280876691256972</v>
      </c>
    </row>
    <row r="208" spans="3:14" ht="24" customHeight="1">
      <c r="H208" s="25">
        <v>4</v>
      </c>
      <c r="I208" s="30">
        <v>4</v>
      </c>
      <c r="J208" s="30">
        <v>3</v>
      </c>
      <c r="K208" s="27" t="s">
        <v>16</v>
      </c>
      <c r="N208" s="20">
        <f ca="1"/>
        <v>1.9725469287113588</v>
      </c>
    </row>
    <row r="209" spans="1:14" ht="24" customHeight="1">
      <c r="H209" s="25">
        <v>5</v>
      </c>
      <c r="I209" s="31">
        <v>3</v>
      </c>
      <c r="J209" s="31">
        <v>2</v>
      </c>
      <c r="K209" s="27" t="s">
        <v>16</v>
      </c>
      <c r="N209" s="21">
        <f ca="1"/>
        <v>1.3994757895865733</v>
      </c>
    </row>
    <row r="211" spans="1:14" s="40" customFormat="1" ht="27">
      <c r="A211" s="40" t="s">
        <v>19</v>
      </c>
    </row>
    <row r="212" spans="1:14" ht="24" customHeight="1">
      <c r="A212" s="17" t="str">
        <f>HYPERLINK("#A1","[top]")</f>
        <v>[top]</v>
      </c>
    </row>
    <row r="213" spans="1:14" ht="24" customHeight="1">
      <c r="A213" s="17"/>
    </row>
    <row r="214" spans="1:14" ht="24" customHeight="1">
      <c r="A214" s="17"/>
      <c r="E214" s="32" t="s">
        <v>11</v>
      </c>
      <c r="F214" s="25">
        <v>1</v>
      </c>
      <c r="G214" s="25">
        <v>2</v>
      </c>
    </row>
    <row r="215" spans="1:14" ht="24" customHeight="1">
      <c r="A215" s="17"/>
      <c r="E215" s="32" t="s">
        <v>5</v>
      </c>
    </row>
    <row r="216" spans="1:14" ht="24" customHeight="1">
      <c r="A216" s="17"/>
      <c r="E216" s="25">
        <v>1</v>
      </c>
      <c r="F216" s="29">
        <v>1</v>
      </c>
      <c r="G216" s="29">
        <v>1</v>
      </c>
    </row>
    <row r="217" spans="1:14" ht="24" customHeight="1">
      <c r="A217" s="17"/>
      <c r="E217" s="25">
        <v>2</v>
      </c>
      <c r="F217" s="30">
        <v>3</v>
      </c>
      <c r="G217" s="30">
        <v>2</v>
      </c>
    </row>
    <row r="218" spans="1:14" ht="24" customHeight="1">
      <c r="E218" s="25">
        <v>3</v>
      </c>
      <c r="F218" s="30">
        <v>1</v>
      </c>
      <c r="G218" s="30">
        <v>2</v>
      </c>
    </row>
    <row r="219" spans="1:14" ht="24" customHeight="1">
      <c r="E219" s="25">
        <v>4</v>
      </c>
      <c r="F219" s="30">
        <v>4</v>
      </c>
      <c r="G219" s="30">
        <v>5</v>
      </c>
      <c r="L219" s="33"/>
      <c r="N219" s="33"/>
    </row>
    <row r="220" spans="1:14" ht="24" customHeight="1">
      <c r="E220" s="25">
        <v>5</v>
      </c>
      <c r="F220" s="31">
        <v>3</v>
      </c>
      <c r="G220" s="31">
        <v>2</v>
      </c>
      <c r="L220" s="33"/>
      <c r="N220" s="33"/>
    </row>
    <row r="221" spans="1:14" ht="24" customHeight="1">
      <c r="L221" s="33"/>
      <c r="N221" s="33"/>
    </row>
    <row r="222" spans="1:14" ht="24" customHeight="1">
      <c r="F222" s="33" t="s">
        <v>6</v>
      </c>
      <c r="L222" s="33"/>
      <c r="N222" s="33"/>
    </row>
    <row r="223" spans="1:14" ht="24" customHeight="1">
      <c r="F223" s="18"/>
      <c r="G223" s="18"/>
      <c r="L223" s="33"/>
      <c r="N223" s="33"/>
    </row>
    <row r="224" spans="1:14" ht="24" customHeight="1">
      <c r="F224" s="18"/>
      <c r="G224" s="18"/>
      <c r="L224" s="33"/>
      <c r="N224" s="33"/>
    </row>
    <row r="225" spans="6:14" ht="24" customHeight="1">
      <c r="F225" s="33" t="s">
        <v>6</v>
      </c>
      <c r="L225" s="33"/>
      <c r="N225" s="33"/>
    </row>
    <row r="226" spans="6:14" ht="24" customHeight="1">
      <c r="L226" s="33"/>
      <c r="N226" s="33"/>
    </row>
    <row r="227" spans="6:14" ht="24" customHeight="1">
      <c r="F227" s="19">
        <v>1</v>
      </c>
      <c r="L227" s="33"/>
      <c r="N227" s="33"/>
    </row>
    <row r="228" spans="6:14" ht="24" customHeight="1">
      <c r="F228" s="20">
        <v>2.5999999999999996</v>
      </c>
      <c r="L228" s="33"/>
      <c r="N228" s="33"/>
    </row>
    <row r="229" spans="6:14" ht="24" customHeight="1">
      <c r="F229" s="20">
        <v>1.4</v>
      </c>
    </row>
    <row r="230" spans="6:14" ht="24" customHeight="1">
      <c r="F230" s="20">
        <v>4.4000000000000004</v>
      </c>
    </row>
    <row r="231" spans="6:14" ht="24" customHeight="1">
      <c r="F231" s="21">
        <v>2.5999999999999996</v>
      </c>
    </row>
    <row r="232" spans="6:14" ht="24" customHeight="1">
      <c r="F232" s="33" t="s">
        <v>20</v>
      </c>
      <c r="G232" s="33" t="s">
        <v>20</v>
      </c>
    </row>
    <row r="233" spans="6:14" ht="24" customHeight="1">
      <c r="F233" s="45">
        <v>0.5</v>
      </c>
      <c r="G233" s="46">
        <v>0.7</v>
      </c>
    </row>
    <row r="234" spans="6:14" ht="24" customHeight="1">
      <c r="F234" s="33" t="s">
        <v>6</v>
      </c>
      <c r="G234" s="33" t="s">
        <v>6</v>
      </c>
    </row>
    <row r="235" spans="6:14" ht="24" customHeight="1">
      <c r="F235" s="19" cm="1">
        <f t="array" ref="F235:G239">F227:F231*F233:G233</f>
        <v>0.5</v>
      </c>
      <c r="G235" s="19">
        <v>0.7</v>
      </c>
    </row>
    <row r="236" spans="6:14" ht="24" customHeight="1">
      <c r="F236" s="20">
        <v>1.2999999999999998</v>
      </c>
      <c r="G236" s="20">
        <v>1.8199999999999996</v>
      </c>
    </row>
    <row r="237" spans="6:14" ht="24" customHeight="1">
      <c r="F237" s="20">
        <v>0.7</v>
      </c>
      <c r="G237" s="20">
        <v>0.97999999999999987</v>
      </c>
    </row>
    <row r="238" spans="6:14" ht="24" customHeight="1">
      <c r="F238" s="20">
        <v>2.2000000000000002</v>
      </c>
      <c r="G238" s="20">
        <v>3.08</v>
      </c>
    </row>
    <row r="239" spans="6:14" ht="24" customHeight="1">
      <c r="F239" s="21">
        <v>1.2999999999999998</v>
      </c>
      <c r="G239" s="21">
        <v>1.8199999999999996</v>
      </c>
    </row>
    <row r="242" spans="1:23" s="40" customFormat="1" ht="27">
      <c r="A242" s="40" t="s">
        <v>21</v>
      </c>
    </row>
    <row r="243" spans="1:23" ht="24" customHeight="1">
      <c r="A243" s="17" t="str">
        <f>HYPERLINK("#A1","[top]")</f>
        <v>[top]</v>
      </c>
    </row>
    <row r="245" spans="1:23" ht="24" customHeight="1">
      <c r="E245" s="32" t="s">
        <v>11</v>
      </c>
      <c r="F245" s="25">
        <v>1</v>
      </c>
      <c r="G245" s="25">
        <v>2</v>
      </c>
    </row>
    <row r="246" spans="1:23" ht="24" customHeight="1">
      <c r="E246" s="32" t="s">
        <v>5</v>
      </c>
    </row>
    <row r="247" spans="1:23" ht="24" customHeight="1">
      <c r="E247" s="25">
        <v>1</v>
      </c>
      <c r="F247" s="29">
        <v>1</v>
      </c>
      <c r="G247" s="29">
        <v>1</v>
      </c>
      <c r="H247" s="27"/>
      <c r="W247" s="19" cm="1">
        <f t="array" ref="W247:W251">F247:F251</f>
        <v>1</v>
      </c>
    </row>
    <row r="248" spans="1:23" ht="24" customHeight="1">
      <c r="E248" s="25">
        <v>2</v>
      </c>
      <c r="F248" s="30">
        <v>3</v>
      </c>
      <c r="G248" s="30">
        <v>2</v>
      </c>
      <c r="H248" s="27"/>
      <c r="W248" s="20">
        <v>3</v>
      </c>
    </row>
    <row r="249" spans="1:23" ht="24" customHeight="1">
      <c r="E249" s="25">
        <v>3</v>
      </c>
      <c r="F249" s="30">
        <v>1</v>
      </c>
      <c r="G249" s="30">
        <v>2</v>
      </c>
      <c r="H249" s="27"/>
      <c r="W249" s="20">
        <v>1</v>
      </c>
    </row>
    <row r="250" spans="1:23" ht="24" customHeight="1">
      <c r="E250" s="25">
        <v>4</v>
      </c>
      <c r="F250" s="30">
        <v>4</v>
      </c>
      <c r="G250" s="30">
        <v>5</v>
      </c>
      <c r="H250" s="27"/>
      <c r="W250" s="20">
        <v>4</v>
      </c>
    </row>
    <row r="251" spans="1:23" ht="24" customHeight="1">
      <c r="E251" s="25">
        <v>5</v>
      </c>
      <c r="F251" s="31">
        <v>5</v>
      </c>
      <c r="G251" s="31">
        <v>2</v>
      </c>
      <c r="H251" s="27"/>
      <c r="W251" s="21">
        <v>5</v>
      </c>
    </row>
    <row r="252" spans="1:23" ht="24" customHeight="1">
      <c r="W252" s="19" cm="1">
        <f t="array" ref="W252:W256">G247:G251</f>
        <v>1</v>
      </c>
    </row>
    <row r="253" spans="1:23" ht="24" customHeight="1">
      <c r="F253" s="33" t="s">
        <v>6</v>
      </c>
      <c r="W253" s="20">
        <v>2</v>
      </c>
    </row>
    <row r="254" spans="1:23" ht="24" customHeight="1">
      <c r="F254" s="18"/>
      <c r="G254" s="18"/>
      <c r="W254" s="20">
        <v>2</v>
      </c>
    </row>
    <row r="255" spans="1:23" ht="24" customHeight="1">
      <c r="F255" s="18"/>
      <c r="G255" s="18"/>
      <c r="W255" s="20">
        <v>5</v>
      </c>
    </row>
    <row r="256" spans="1:23" ht="24" customHeight="1">
      <c r="F256" s="33" t="s">
        <v>6</v>
      </c>
      <c r="W256" s="21">
        <v>2</v>
      </c>
    </row>
    <row r="257" spans="6:24" ht="24" customHeight="1">
      <c r="W257" s="33" t="s">
        <v>6</v>
      </c>
    </row>
    <row r="258" spans="6:24" ht="24" customHeight="1">
      <c r="F258" s="19">
        <v>1</v>
      </c>
      <c r="L258" s="28" cm="1">
        <f t="array" aca="1" ref="L258:U259" ca="1">_xlfn.RANDARRAY(2,10)-0.5</f>
        <v>-0.48192248789182357</v>
      </c>
      <c r="M258" s="28">
        <f ca="1"/>
        <v>-0.3633014051305874</v>
      </c>
      <c r="N258" s="28">
        <f ca="1"/>
        <v>-0.16112880225062276</v>
      </c>
      <c r="O258" s="28">
        <f ca="1"/>
        <v>0.22299607669017396</v>
      </c>
      <c r="P258" s="28">
        <f ca="1"/>
        <v>-5.2314595804021424E-2</v>
      </c>
      <c r="Q258" s="28">
        <f ca="1"/>
        <v>-0.39928191151362968</v>
      </c>
      <c r="R258" s="28">
        <f ca="1"/>
        <v>0.23865145475826721</v>
      </c>
      <c r="S258" s="28">
        <f ca="1"/>
        <v>-0.30639257084957028</v>
      </c>
      <c r="T258" s="28">
        <f ca="1"/>
        <v>0.28351912363025544</v>
      </c>
      <c r="U258" s="28">
        <f ca="1"/>
        <v>0.49104042116732738</v>
      </c>
      <c r="V258" s="27" t="s">
        <v>16</v>
      </c>
      <c r="W258" s="19" cm="1">
        <f t="array" aca="1" ref="W258:W259" ca="1">MMULT(L258:U259,W247:W256)</f>
        <v>0.76236813899607636</v>
      </c>
    </row>
    <row r="259" spans="6:24" ht="24" customHeight="1">
      <c r="F259" s="20">
        <v>2.5999999999999996</v>
      </c>
      <c r="L259" s="28">
        <f ca="1"/>
        <v>-0.19702974643813165</v>
      </c>
      <c r="M259" s="28">
        <f ca="1"/>
        <v>-9.6144302800995618E-3</v>
      </c>
      <c r="N259" s="28">
        <f ca="1"/>
        <v>0.34696463667629884</v>
      </c>
      <c r="O259" s="28">
        <f ca="1"/>
        <v>7.3678729129084575E-2</v>
      </c>
      <c r="P259" s="28">
        <f ca="1"/>
        <v>-0.19163169188776585</v>
      </c>
      <c r="Q259" s="28">
        <f ca="1"/>
        <v>0.13790913596398258</v>
      </c>
      <c r="R259" s="28">
        <f ca="1"/>
        <v>0.47079221325361154</v>
      </c>
      <c r="S259" s="28">
        <f ca="1"/>
        <v>0.42904089792606936</v>
      </c>
      <c r="T259" s="28">
        <f ca="1"/>
        <v>-0.10211155345594891</v>
      </c>
      <c r="U259" s="28">
        <f ca="1"/>
        <v>-0.30270234004412466</v>
      </c>
      <c r="V259" s="27" t="s">
        <v>16</v>
      </c>
      <c r="W259" s="21">
        <f ca="1"/>
        <v>0.27926096743072804</v>
      </c>
    </row>
    <row r="260" spans="6:24" ht="24" customHeight="1">
      <c r="F260" s="20">
        <v>1.4</v>
      </c>
      <c r="U260" t="s">
        <v>18</v>
      </c>
      <c r="W260" s="33" t="s">
        <v>6</v>
      </c>
    </row>
    <row r="261" spans="6:24" ht="24" customHeight="1">
      <c r="F261" s="20">
        <v>4.4000000000000004</v>
      </c>
      <c r="W261" s="19" cm="1">
        <f t="array" aca="1" ref="W261:W262" ca="1">_xlfn.LET(_xlpm.x,_xlfn.ANCHORARRAY(W258),1/(1+EXP(-_xlpm.x)))</f>
        <v>0.68186766143888911</v>
      </c>
    </row>
    <row r="262" spans="6:24" ht="24" customHeight="1">
      <c r="F262" s="21">
        <v>2.5999999999999996</v>
      </c>
      <c r="W262" s="21">
        <f ca="1"/>
        <v>0.56936503095442104</v>
      </c>
    </row>
    <row r="263" spans="6:24" ht="24" customHeight="1">
      <c r="F263" s="33" t="s">
        <v>20</v>
      </c>
      <c r="G263" s="33" t="s">
        <v>20</v>
      </c>
    </row>
    <row r="264" spans="6:24" ht="24" customHeight="1">
      <c r="F264" s="44" cm="1">
        <f t="array" aca="1" ref="F264:G264" ca="1">_xlfn.ANCHORARRAY(W264)</f>
        <v>0.68186766143888911</v>
      </c>
      <c r="G264" s="39">
        <f ca="1"/>
        <v>0.56936503095442104</v>
      </c>
      <c r="W264" s="44" cm="1">
        <f t="array" aca="1" ref="W264:X264" ca="1">TRANSPOSE(_xlfn.ANCHORARRAY(W261))</f>
        <v>0.68186766143888911</v>
      </c>
      <c r="X264" s="39">
        <f ca="1"/>
        <v>0.56936503095442104</v>
      </c>
    </row>
    <row r="265" spans="6:24" ht="24" customHeight="1">
      <c r="F265" s="33" t="s">
        <v>6</v>
      </c>
      <c r="G265" s="33" t="s">
        <v>6</v>
      </c>
    </row>
    <row r="266" spans="6:24" ht="24" customHeight="1">
      <c r="F266" s="19" cm="1">
        <f t="array" aca="1" ref="F266:G270" ca="1">F258:F262*F264:G264</f>
        <v>0.68186766143888911</v>
      </c>
      <c r="G266" s="19">
        <f ca="1"/>
        <v>0.56936503095442104</v>
      </c>
    </row>
    <row r="267" spans="6:24" ht="24" customHeight="1">
      <c r="F267" s="20">
        <f ca="1"/>
        <v>1.7728559197411113</v>
      </c>
      <c r="G267" s="20">
        <f ca="1"/>
        <v>1.4803490804814945</v>
      </c>
    </row>
    <row r="268" spans="6:24" ht="24" customHeight="1">
      <c r="F268" s="20">
        <f ca="1"/>
        <v>0.95461472601444464</v>
      </c>
      <c r="G268" s="20">
        <f ca="1"/>
        <v>0.79711104333618943</v>
      </c>
    </row>
    <row r="269" spans="6:24" ht="24" customHeight="1">
      <c r="F269" s="20">
        <f ca="1"/>
        <v>3.0002177103311123</v>
      </c>
      <c r="G269" s="20">
        <f ca="1"/>
        <v>2.5052061361994529</v>
      </c>
    </row>
    <row r="270" spans="6:24" ht="24" customHeight="1">
      <c r="F270" s="21">
        <f ca="1"/>
        <v>1.7728559197411113</v>
      </c>
      <c r="G270" s="21">
        <f ca="1"/>
        <v>1.4803490804814945</v>
      </c>
    </row>
    <row r="273" spans="1:15" s="40" customFormat="1" ht="27">
      <c r="A273" s="40" t="s">
        <v>22</v>
      </c>
    </row>
    <row r="274" spans="1:15" ht="24" customHeight="1">
      <c r="A274" s="17" t="str">
        <f>HYPERLINK("#A1","[top]")</f>
        <v>[top]</v>
      </c>
    </row>
    <row r="276" spans="1:15" ht="24" customHeight="1">
      <c r="L276" s="33"/>
      <c r="M276" s="32" t="s">
        <v>11</v>
      </c>
      <c r="N276" s="25">
        <v>1</v>
      </c>
      <c r="O276" s="25">
        <v>2</v>
      </c>
    </row>
    <row r="277" spans="1:15" ht="24" customHeight="1">
      <c r="M277" s="25">
        <v>1</v>
      </c>
      <c r="N277" s="41">
        <v>0.6</v>
      </c>
      <c r="O277" s="41">
        <v>0.3</v>
      </c>
    </row>
    <row r="278" spans="1:15" ht="24" customHeight="1">
      <c r="H278" s="32" t="s">
        <v>11</v>
      </c>
      <c r="I278" s="25">
        <v>1</v>
      </c>
      <c r="J278" s="25">
        <v>2</v>
      </c>
      <c r="M278" s="25">
        <v>2</v>
      </c>
      <c r="N278" s="42">
        <v>0.4</v>
      </c>
      <c r="O278" s="42">
        <v>0.7</v>
      </c>
    </row>
    <row r="279" spans="1:15" ht="24" customHeight="1">
      <c r="H279" s="32" t="s">
        <v>5</v>
      </c>
      <c r="N279" s="33" t="s">
        <v>6</v>
      </c>
      <c r="O279" s="33" t="s">
        <v>6</v>
      </c>
    </row>
    <row r="280" spans="1:15" ht="24" customHeight="1">
      <c r="H280" s="25">
        <v>1</v>
      </c>
      <c r="I280" s="29">
        <v>1</v>
      </c>
      <c r="J280" s="29">
        <v>1</v>
      </c>
      <c r="K280" s="27" t="s">
        <v>16</v>
      </c>
      <c r="N280" s="19" cm="1">
        <f t="array" ref="N280:O284">MMULT(I280:J284,N277:O278)</f>
        <v>1</v>
      </c>
      <c r="O280" s="19">
        <v>1</v>
      </c>
    </row>
    <row r="281" spans="1:15" ht="24" customHeight="1">
      <c r="H281" s="25">
        <v>2</v>
      </c>
      <c r="I281" s="30">
        <v>3</v>
      </c>
      <c r="J281" s="30">
        <v>3</v>
      </c>
      <c r="K281" s="27" t="s">
        <v>16</v>
      </c>
      <c r="N281" s="20">
        <v>3</v>
      </c>
      <c r="O281" s="20">
        <v>2.9999999999999996</v>
      </c>
    </row>
    <row r="282" spans="1:15" ht="24" customHeight="1">
      <c r="H282" s="25">
        <v>3</v>
      </c>
      <c r="I282" s="30">
        <v>3</v>
      </c>
      <c r="J282" s="30">
        <v>3</v>
      </c>
      <c r="K282" s="27" t="s">
        <v>16</v>
      </c>
      <c r="N282" s="20">
        <v>3</v>
      </c>
      <c r="O282" s="20">
        <v>2.9999999999999996</v>
      </c>
    </row>
    <row r="283" spans="1:15" ht="24" customHeight="1">
      <c r="H283" s="25">
        <v>4</v>
      </c>
      <c r="I283" s="30">
        <v>4</v>
      </c>
      <c r="J283" s="30">
        <v>3</v>
      </c>
      <c r="K283" s="27" t="s">
        <v>16</v>
      </c>
      <c r="N283" s="20">
        <v>3.6</v>
      </c>
      <c r="O283" s="20">
        <v>3.3</v>
      </c>
    </row>
    <row r="284" spans="1:15" ht="24" customHeight="1">
      <c r="H284" s="25">
        <v>5</v>
      </c>
      <c r="I284" s="31">
        <v>3</v>
      </c>
      <c r="J284" s="31">
        <v>2</v>
      </c>
      <c r="K284" s="27" t="s">
        <v>16</v>
      </c>
      <c r="N284" s="21">
        <v>2.5999999999999996</v>
      </c>
      <c r="O284" s="21">
        <v>2.2999999999999998</v>
      </c>
    </row>
    <row r="286" spans="1:15" s="40" customFormat="1" ht="27">
      <c r="A286" s="40" t="s">
        <v>23</v>
      </c>
    </row>
    <row r="287" spans="1:15" ht="24" customHeight="1">
      <c r="A287" s="17" t="str">
        <f>HYPERLINK("#A1","[top]")</f>
        <v>[top]</v>
      </c>
    </row>
    <row r="289" spans="3:14" ht="24" customHeight="1">
      <c r="N289" s="19" cm="1">
        <f t="array" ref="N289:N293">I316:I320</f>
        <v>1</v>
      </c>
    </row>
    <row r="290" spans="3:14" ht="24" customHeight="1">
      <c r="N290" s="20">
        <v>2</v>
      </c>
    </row>
    <row r="291" spans="3:14" ht="24" customHeight="1">
      <c r="N291" s="20">
        <v>0</v>
      </c>
    </row>
    <row r="292" spans="3:14" ht="24" customHeight="1">
      <c r="N292" s="20">
        <v>2</v>
      </c>
    </row>
    <row r="293" spans="3:14" ht="24" customHeight="1">
      <c r="N293" s="21">
        <v>3</v>
      </c>
    </row>
    <row r="294" spans="3:14" ht="24" customHeight="1">
      <c r="N294" s="19" cm="1">
        <f t="array" ref="N294:N298">J316:J320</f>
        <v>1</v>
      </c>
    </row>
    <row r="295" spans="3:14" ht="24" customHeight="1">
      <c r="N295" s="20">
        <v>2</v>
      </c>
    </row>
    <row r="296" spans="3:14" ht="24" customHeight="1">
      <c r="N296" s="20">
        <v>4</v>
      </c>
    </row>
    <row r="297" spans="3:14" ht="24" customHeight="1">
      <c r="N297" s="20">
        <v>5</v>
      </c>
    </row>
    <row r="298" spans="3:14" ht="24" customHeight="1">
      <c r="N298" s="21">
        <v>2</v>
      </c>
    </row>
    <row r="299" spans="3:14" ht="24" customHeight="1">
      <c r="N299" s="33" t="s">
        <v>6</v>
      </c>
    </row>
    <row r="300" spans="3:14" ht="24" customHeight="1">
      <c r="C300" s="28" cm="1">
        <f t="array" aca="1" ref="C300:L303" ca="1">_xlfn.RANDARRAY(4,10)-0.5</f>
        <v>7.5633432304007542E-3</v>
      </c>
      <c r="D300" s="28">
        <f ca="1"/>
        <v>0.23148260307891078</v>
      </c>
      <c r="E300" s="28">
        <f ca="1"/>
        <v>-5.2750259439565905E-2</v>
      </c>
      <c r="F300" s="28">
        <f ca="1"/>
        <v>0.3229665177520129</v>
      </c>
      <c r="G300" s="28">
        <f ca="1"/>
        <v>0.29044567172184887</v>
      </c>
      <c r="H300" s="28">
        <f ca="1"/>
        <v>-0.47763018590687478</v>
      </c>
      <c r="I300" s="28">
        <f ca="1"/>
        <v>0.13691055240951844</v>
      </c>
      <c r="J300" s="28">
        <f ca="1"/>
        <v>0.24830374004821398</v>
      </c>
      <c r="K300" s="28">
        <f ca="1"/>
        <v>0.16780792277921819</v>
      </c>
      <c r="L300" s="28">
        <f ca="1"/>
        <v>-0.3965509591688503</v>
      </c>
      <c r="M300" s="27" t="s">
        <v>16</v>
      </c>
      <c r="N300" s="19" cm="1">
        <f t="array" aca="1" ref="N300:N303" ca="1">MMULT(_xlfn.ANCHORARRAY(C300),N289:N298)</f>
        <v>2.8231421747212031</v>
      </c>
    </row>
    <row r="301" spans="3:14" ht="24" customHeight="1">
      <c r="C301" s="28">
        <f ca="1"/>
        <v>-0.36016189357701767</v>
      </c>
      <c r="D301" s="28">
        <f ca="1"/>
        <v>-0.40549497111150945</v>
      </c>
      <c r="E301" s="28">
        <f ca="1"/>
        <v>0.25321948433075225</v>
      </c>
      <c r="F301" s="28">
        <f ca="1"/>
        <v>-0.21657396480042124</v>
      </c>
      <c r="G301" s="28">
        <f ca="1"/>
        <v>-0.42143010197322783</v>
      </c>
      <c r="H301" s="28">
        <f ca="1"/>
        <v>0.37871434758527678</v>
      </c>
      <c r="I301" s="28">
        <f ca="1"/>
        <v>-0.49074875740459589</v>
      </c>
      <c r="J301" s="28">
        <f ca="1"/>
        <v>0.10164157213070224</v>
      </c>
      <c r="K301" s="28">
        <f ca="1"/>
        <v>0.33262123828550694</v>
      </c>
      <c r="L301" s="28">
        <f ca="1"/>
        <v>-0.3656354162391493</v>
      </c>
      <c r="M301" s="27" t="s">
        <v>16</v>
      </c>
      <c r="N301" s="20">
        <f ca="1"/>
        <v>-2.1329715910724323</v>
      </c>
    </row>
    <row r="302" spans="3:14" ht="24" customHeight="1">
      <c r="C302" s="28">
        <f ca="1"/>
        <v>0.19076828200098905</v>
      </c>
      <c r="D302" s="28">
        <f ca="1"/>
        <v>-0.22945791877267219</v>
      </c>
      <c r="E302" s="28">
        <f ca="1"/>
        <v>0.35415759854321838</v>
      </c>
      <c r="F302" s="28">
        <f ca="1"/>
        <v>-0.49228105327154137</v>
      </c>
      <c r="G302" s="28">
        <f ca="1"/>
        <v>-0.45176323671068164</v>
      </c>
      <c r="H302" s="28">
        <f ca="1"/>
        <v>0.48662197611894431</v>
      </c>
      <c r="I302" s="28">
        <f ca="1"/>
        <v>0.40052240301683018</v>
      </c>
      <c r="J302" s="28">
        <f ca="1"/>
        <v>0.2936872920146183</v>
      </c>
      <c r="K302" s="28">
        <f ca="1"/>
        <v>-5.5871426022219284E-2</v>
      </c>
      <c r="L302" s="28">
        <f ca="1"/>
        <v>0.46748562538794536</v>
      </c>
      <c r="M302" s="27" t="s">
        <v>16</v>
      </c>
      <c r="N302" s="20">
        <f ca="1"/>
        <v>0.51003069865638895</v>
      </c>
    </row>
    <row r="303" spans="3:14" ht="24" customHeight="1">
      <c r="C303" s="28">
        <f ca="1"/>
        <v>-0.10038980747492654</v>
      </c>
      <c r="D303" s="28">
        <f ca="1"/>
        <v>6.3611946354408477E-2</v>
      </c>
      <c r="E303" s="28">
        <f ca="1"/>
        <v>-0.49919467087612457</v>
      </c>
      <c r="F303" s="28">
        <f ca="1"/>
        <v>-0.10210589859971697</v>
      </c>
      <c r="G303" s="28">
        <f ca="1"/>
        <v>0.41839974777214484</v>
      </c>
      <c r="H303" s="28">
        <f ca="1"/>
        <v>-4.5668778538296095E-2</v>
      </c>
      <c r="I303" s="28">
        <f ca="1"/>
        <v>-0.20460538022670272</v>
      </c>
      <c r="J303" s="28">
        <f ca="1"/>
        <v>0.44091433129025015</v>
      </c>
      <c r="K303" s="28">
        <f ca="1"/>
        <v>0.29622278584593853</v>
      </c>
      <c r="L303" s="28">
        <f ca="1"/>
        <v>0.27035345408891764</v>
      </c>
      <c r="M303" s="27" t="s">
        <v>16</v>
      </c>
      <c r="N303" s="21">
        <f ca="1"/>
        <v>4.4084201549277182</v>
      </c>
    </row>
    <row r="305" spans="1:15" ht="24" customHeight="1">
      <c r="L305" t="s">
        <v>18</v>
      </c>
      <c r="N305" s="33" t="s">
        <v>6</v>
      </c>
    </row>
    <row r="306" spans="1:15" ht="24" customHeight="1">
      <c r="N306" s="19" cm="1">
        <f t="array" aca="1" ref="N306:N309" ca="1">_xlfn.LET(_xlpm.x,_xlfn.ANCHORARRAY(N300),1/(1+EXP(-_xlpm.x)))</f>
        <v>0.94391364749229556</v>
      </c>
    </row>
    <row r="307" spans="1:15" ht="24" customHeight="1">
      <c r="N307" s="20">
        <f ca="1"/>
        <v>0.10593321845802542</v>
      </c>
    </row>
    <row r="308" spans="1:15" ht="24" customHeight="1">
      <c r="N308" s="20">
        <f ca="1"/>
        <v>0.62481367092254114</v>
      </c>
    </row>
    <row r="309" spans="1:15" ht="24" customHeight="1">
      <c r="N309" s="21">
        <f ca="1"/>
        <v>0.9879720363960659</v>
      </c>
    </row>
    <row r="311" spans="1:15" ht="24" customHeight="1">
      <c r="M311" s="32" t="s">
        <v>11</v>
      </c>
      <c r="N311" s="25">
        <v>1</v>
      </c>
      <c r="O311" s="25">
        <v>2</v>
      </c>
    </row>
    <row r="312" spans="1:15" ht="24" customHeight="1">
      <c r="A312" s="17"/>
      <c r="M312" s="25">
        <v>1</v>
      </c>
      <c r="N312" s="34" cm="1">
        <f t="array" aca="1" ref="N312:O313" ca="1">_xlfn.WRAPROWS(_xlfn.ANCHORARRAY(N306),2)</f>
        <v>0.94391364749229556</v>
      </c>
      <c r="O312" s="35">
        <f ca="1"/>
        <v>0.10593321845802542</v>
      </c>
    </row>
    <row r="313" spans="1:15" ht="24" customHeight="1">
      <c r="M313" s="25">
        <v>2</v>
      </c>
      <c r="N313" s="36">
        <f ca="1"/>
        <v>0.62481367092254114</v>
      </c>
      <c r="O313" s="37">
        <f ca="1"/>
        <v>0.9879720363960659</v>
      </c>
    </row>
    <row r="314" spans="1:15" ht="24" customHeight="1">
      <c r="H314" s="32" t="s">
        <v>11</v>
      </c>
      <c r="I314" s="25">
        <v>1</v>
      </c>
      <c r="J314" s="25">
        <v>2</v>
      </c>
    </row>
    <row r="315" spans="1:15" ht="24" customHeight="1">
      <c r="H315" s="32" t="s">
        <v>5</v>
      </c>
      <c r="N315" s="33" t="s">
        <v>6</v>
      </c>
      <c r="O315" s="33" t="s">
        <v>6</v>
      </c>
    </row>
    <row r="316" spans="1:15" ht="24" customHeight="1">
      <c r="H316" s="25">
        <v>1</v>
      </c>
      <c r="I316" s="29">
        <v>1</v>
      </c>
      <c r="J316" s="29">
        <v>1</v>
      </c>
      <c r="K316" s="27" t="s">
        <v>16</v>
      </c>
      <c r="N316" s="19" cm="1">
        <f t="array" aca="1" ref="N316:O320" ca="1">MMULT(I316:J320,_xlfn.ANCHORARRAY(N312))</f>
        <v>1.5687273184148367</v>
      </c>
      <c r="O316" s="19">
        <f ca="1"/>
        <v>1.0939052548540913</v>
      </c>
    </row>
    <row r="317" spans="1:15" ht="24" customHeight="1">
      <c r="H317" s="25">
        <v>2</v>
      </c>
      <c r="I317" s="30">
        <v>2</v>
      </c>
      <c r="J317" s="30">
        <v>2</v>
      </c>
      <c r="K317" s="27" t="s">
        <v>16</v>
      </c>
      <c r="N317" s="20">
        <f ca="1"/>
        <v>3.1374546368296734</v>
      </c>
      <c r="O317" s="20">
        <f ca="1"/>
        <v>2.1878105097081826</v>
      </c>
    </row>
    <row r="318" spans="1:15" ht="24" customHeight="1">
      <c r="H318" s="25">
        <v>3</v>
      </c>
      <c r="I318" s="30">
        <v>0</v>
      </c>
      <c r="J318" s="30">
        <v>4</v>
      </c>
      <c r="K318" s="27" t="s">
        <v>16</v>
      </c>
      <c r="N318" s="20">
        <f ca="1"/>
        <v>2.4992546836901646</v>
      </c>
      <c r="O318" s="20">
        <f ca="1"/>
        <v>3.9518881455842636</v>
      </c>
    </row>
    <row r="319" spans="1:15" ht="24" customHeight="1">
      <c r="H319" s="25">
        <v>4</v>
      </c>
      <c r="I319" s="30">
        <v>2</v>
      </c>
      <c r="J319" s="30">
        <v>5</v>
      </c>
      <c r="K319" s="27" t="s">
        <v>16</v>
      </c>
      <c r="N319" s="20">
        <f ca="1"/>
        <v>5.0118956495972968</v>
      </c>
      <c r="O319" s="20">
        <f ca="1"/>
        <v>5.1517266188963804</v>
      </c>
    </row>
    <row r="320" spans="1:15" ht="24" customHeight="1">
      <c r="H320" s="25">
        <v>5</v>
      </c>
      <c r="I320" s="31">
        <v>3</v>
      </c>
      <c r="J320" s="31">
        <v>2</v>
      </c>
      <c r="K320" s="27" t="s">
        <v>16</v>
      </c>
      <c r="N320" s="21">
        <f ca="1"/>
        <v>4.081368284321969</v>
      </c>
      <c r="O320" s="21">
        <f ca="1"/>
        <v>2.2937437281662083</v>
      </c>
    </row>
    <row r="322" spans="1:24" s="48" customFormat="1" ht="36.950000000000003">
      <c r="A322" s="48" t="s">
        <v>24</v>
      </c>
    </row>
    <row r="325" spans="1:24" ht="24" customHeight="1">
      <c r="P325" s="32" t="s">
        <v>11</v>
      </c>
      <c r="Q325" s="25">
        <v>1</v>
      </c>
      <c r="R325" s="25">
        <v>2</v>
      </c>
      <c r="S325" s="25">
        <v>3</v>
      </c>
      <c r="T325" s="25">
        <v>4</v>
      </c>
      <c r="U325" s="25">
        <v>5</v>
      </c>
      <c r="V325" s="25">
        <v>6</v>
      </c>
      <c r="W325" s="25">
        <v>7</v>
      </c>
      <c r="X325" s="25">
        <v>8</v>
      </c>
    </row>
    <row r="326" spans="1:24" ht="24" customHeight="1">
      <c r="P326" s="25">
        <v>1</v>
      </c>
      <c r="Q326" s="34" cm="1">
        <f t="array" aca="1" ref="Q326:X333" ca="1">_xlfn.RANDARRAY(8,8,-2,2,TRUE)</f>
        <v>0</v>
      </c>
      <c r="R326" s="49">
        <f ca="1"/>
        <v>-2</v>
      </c>
      <c r="S326" s="49">
        <f ca="1"/>
        <v>0</v>
      </c>
      <c r="T326" s="49">
        <f ca="1"/>
        <v>0</v>
      </c>
      <c r="U326" s="49">
        <f ca="1"/>
        <v>0</v>
      </c>
      <c r="V326" s="49">
        <f ca="1"/>
        <v>1</v>
      </c>
      <c r="W326" s="49">
        <f ca="1"/>
        <v>2</v>
      </c>
      <c r="X326" s="35">
        <f ca="1"/>
        <v>2</v>
      </c>
    </row>
    <row r="327" spans="1:24" ht="24" customHeight="1">
      <c r="P327" s="25">
        <v>2</v>
      </c>
      <c r="Q327" s="50">
        <f ca="1"/>
        <v>0</v>
      </c>
      <c r="R327" s="43">
        <f ca="1"/>
        <v>0</v>
      </c>
      <c r="S327" s="43">
        <f ca="1"/>
        <v>1</v>
      </c>
      <c r="T327" s="43">
        <f ca="1"/>
        <v>-2</v>
      </c>
      <c r="U327" s="43">
        <f ca="1"/>
        <v>-2</v>
      </c>
      <c r="V327" s="43">
        <f ca="1"/>
        <v>0</v>
      </c>
      <c r="W327" s="43">
        <f ca="1"/>
        <v>1</v>
      </c>
      <c r="X327" s="51">
        <f ca="1"/>
        <v>-2</v>
      </c>
    </row>
    <row r="328" spans="1:24" ht="24" customHeight="1">
      <c r="P328" s="25">
        <v>3</v>
      </c>
      <c r="Q328" s="50">
        <f ca="1"/>
        <v>2</v>
      </c>
      <c r="R328" s="43">
        <f ca="1"/>
        <v>1</v>
      </c>
      <c r="S328" s="43">
        <f ca="1"/>
        <v>-2</v>
      </c>
      <c r="T328" s="43">
        <f ca="1"/>
        <v>-1</v>
      </c>
      <c r="U328" s="43">
        <f ca="1"/>
        <v>-2</v>
      </c>
      <c r="V328" s="43">
        <f ca="1"/>
        <v>2</v>
      </c>
      <c r="W328" s="43">
        <f ca="1"/>
        <v>2</v>
      </c>
      <c r="X328" s="51">
        <f ca="1"/>
        <v>2</v>
      </c>
    </row>
    <row r="329" spans="1:24" ht="24" customHeight="1">
      <c r="P329" s="25">
        <v>4</v>
      </c>
      <c r="Q329" s="50">
        <f ca="1"/>
        <v>0</v>
      </c>
      <c r="R329" s="43">
        <f ca="1"/>
        <v>2</v>
      </c>
      <c r="S329" s="43">
        <f ca="1"/>
        <v>2</v>
      </c>
      <c r="T329" s="43">
        <f ca="1"/>
        <v>-1</v>
      </c>
      <c r="U329" s="43">
        <f ca="1"/>
        <v>-1</v>
      </c>
      <c r="V329" s="43">
        <f ca="1"/>
        <v>1</v>
      </c>
      <c r="W329" s="43">
        <f ca="1"/>
        <v>1</v>
      </c>
      <c r="X329" s="51">
        <f ca="1"/>
        <v>2</v>
      </c>
    </row>
    <row r="330" spans="1:24" ht="24" customHeight="1">
      <c r="P330" s="25">
        <v>5</v>
      </c>
      <c r="Q330" s="50">
        <f ca="1"/>
        <v>-2</v>
      </c>
      <c r="R330" s="43">
        <f ca="1"/>
        <v>-1</v>
      </c>
      <c r="S330" s="43">
        <f ca="1"/>
        <v>0</v>
      </c>
      <c r="T330" s="43">
        <f ca="1"/>
        <v>-1</v>
      </c>
      <c r="U330" s="43">
        <f ca="1"/>
        <v>2</v>
      </c>
      <c r="V330" s="43">
        <f ca="1"/>
        <v>-2</v>
      </c>
      <c r="W330" s="43">
        <f ca="1"/>
        <v>0</v>
      </c>
      <c r="X330" s="51">
        <f ca="1"/>
        <v>0</v>
      </c>
    </row>
    <row r="331" spans="1:24" ht="24" customHeight="1">
      <c r="P331" s="25">
        <v>6</v>
      </c>
      <c r="Q331" s="50">
        <f ca="1"/>
        <v>-2</v>
      </c>
      <c r="R331" s="43">
        <f ca="1"/>
        <v>-1</v>
      </c>
      <c r="S331" s="43">
        <f ca="1"/>
        <v>-1</v>
      </c>
      <c r="T331" s="43">
        <f ca="1"/>
        <v>-2</v>
      </c>
      <c r="U331" s="43">
        <f ca="1"/>
        <v>1</v>
      </c>
      <c r="V331" s="43">
        <f ca="1"/>
        <v>2</v>
      </c>
      <c r="W331" s="43">
        <f ca="1"/>
        <v>-2</v>
      </c>
      <c r="X331" s="51">
        <f ca="1"/>
        <v>-1</v>
      </c>
    </row>
    <row r="332" spans="1:24" ht="24" customHeight="1">
      <c r="P332" s="25">
        <v>7</v>
      </c>
      <c r="Q332" s="50">
        <f ca="1"/>
        <v>1</v>
      </c>
      <c r="R332" s="43">
        <f ca="1"/>
        <v>1</v>
      </c>
      <c r="S332" s="43">
        <f ca="1"/>
        <v>2</v>
      </c>
      <c r="T332" s="43">
        <f ca="1"/>
        <v>1</v>
      </c>
      <c r="U332" s="43">
        <f ca="1"/>
        <v>1</v>
      </c>
      <c r="V332" s="43">
        <f ca="1"/>
        <v>-2</v>
      </c>
      <c r="W332" s="43">
        <f ca="1"/>
        <v>-1</v>
      </c>
      <c r="X332" s="51">
        <f ca="1"/>
        <v>-2</v>
      </c>
    </row>
    <row r="333" spans="1:24" ht="24" customHeight="1">
      <c r="P333" s="25">
        <v>8</v>
      </c>
      <c r="Q333" s="36">
        <f ca="1"/>
        <v>1</v>
      </c>
      <c r="R333" s="52">
        <f ca="1"/>
        <v>0</v>
      </c>
      <c r="S333" s="52">
        <f ca="1"/>
        <v>2</v>
      </c>
      <c r="T333" s="52">
        <f ca="1"/>
        <v>-1</v>
      </c>
      <c r="U333" s="52">
        <f ca="1"/>
        <v>1</v>
      </c>
      <c r="V333" s="52">
        <f ca="1"/>
        <v>-2</v>
      </c>
      <c r="W333" s="52">
        <f ca="1"/>
        <v>0</v>
      </c>
      <c r="X333" s="37">
        <f ca="1"/>
        <v>1</v>
      </c>
    </row>
    <row r="334" spans="1:24" ht="24" customHeight="1">
      <c r="D334" s="32" t="s">
        <v>11</v>
      </c>
      <c r="E334" s="25">
        <v>1</v>
      </c>
      <c r="F334" s="25">
        <v>2</v>
      </c>
      <c r="G334" s="25">
        <v>3</v>
      </c>
      <c r="H334" s="25">
        <v>4</v>
      </c>
      <c r="I334" s="25">
        <v>5</v>
      </c>
      <c r="J334" s="25">
        <v>6</v>
      </c>
      <c r="K334" s="25">
        <v>7</v>
      </c>
      <c r="L334" s="25">
        <v>8</v>
      </c>
    </row>
    <row r="335" spans="1:24" ht="24" customHeight="1">
      <c r="C335" s="32" t="s">
        <v>5</v>
      </c>
      <c r="Q335" s="33" t="s">
        <v>6</v>
      </c>
      <c r="R335" s="33" t="s">
        <v>6</v>
      </c>
      <c r="S335" s="33" t="s">
        <v>6</v>
      </c>
      <c r="T335" s="33" t="s">
        <v>6</v>
      </c>
      <c r="U335" s="33" t="s">
        <v>6</v>
      </c>
      <c r="V335" s="33" t="s">
        <v>6</v>
      </c>
      <c r="W335" s="33" t="s">
        <v>6</v>
      </c>
      <c r="X335" s="33" t="s">
        <v>6</v>
      </c>
    </row>
    <row r="336" spans="1:24" ht="24" customHeight="1">
      <c r="C336" s="25">
        <v>1</v>
      </c>
      <c r="E336" s="29">
        <v>1</v>
      </c>
      <c r="F336" s="29">
        <v>2</v>
      </c>
      <c r="G336" s="29">
        <v>1</v>
      </c>
      <c r="H336" s="29">
        <v>1</v>
      </c>
      <c r="I336" s="29">
        <v>2</v>
      </c>
      <c r="J336" s="29">
        <v>3</v>
      </c>
      <c r="K336" s="29">
        <v>1</v>
      </c>
      <c r="L336" s="29">
        <v>0</v>
      </c>
      <c r="N336" s="27" t="s">
        <v>16</v>
      </c>
      <c r="Q336" s="19" cm="1">
        <f t="array" aca="1" ref="Q336:X340" ca="1">MMULT(E336:L340,_xlfn.ANCHORARRAY(Q326))</f>
        <v>-7</v>
      </c>
      <c r="R336" s="19">
        <f ca="1"/>
        <v>-3</v>
      </c>
      <c r="S336" s="19">
        <f ca="1"/>
        <v>1</v>
      </c>
      <c r="T336" s="19">
        <f ca="1"/>
        <v>-13</v>
      </c>
      <c r="U336" s="19">
        <f ca="1"/>
        <v>1</v>
      </c>
      <c r="V336" s="19">
        <f ca="1"/>
        <v>4</v>
      </c>
      <c r="W336" s="19">
        <f ca="1"/>
        <v>0</v>
      </c>
      <c r="X336" s="19">
        <f ca="1"/>
        <v>-3</v>
      </c>
    </row>
    <row r="337" spans="1:26" ht="24" customHeight="1">
      <c r="C337" s="25">
        <v>2</v>
      </c>
      <c r="E337" s="30">
        <v>0</v>
      </c>
      <c r="F337" s="30">
        <v>2</v>
      </c>
      <c r="G337" s="30">
        <v>1</v>
      </c>
      <c r="H337" s="30">
        <v>0</v>
      </c>
      <c r="I337" s="30">
        <v>3</v>
      </c>
      <c r="J337" s="30">
        <v>1</v>
      </c>
      <c r="K337" s="30">
        <v>3</v>
      </c>
      <c r="L337" s="30">
        <v>2</v>
      </c>
      <c r="N337" s="27" t="s">
        <v>16</v>
      </c>
      <c r="Q337" s="20">
        <f ca="1"/>
        <v>-1</v>
      </c>
      <c r="R337" s="20">
        <f ca="1"/>
        <v>0</v>
      </c>
      <c r="S337" s="20">
        <f ca="1"/>
        <v>9</v>
      </c>
      <c r="T337" s="20">
        <f ca="1"/>
        <v>-9</v>
      </c>
      <c r="U337" s="20">
        <f ca="1"/>
        <v>6</v>
      </c>
      <c r="V337" s="20">
        <f ca="1"/>
        <v>-12</v>
      </c>
      <c r="W337" s="20">
        <f ca="1"/>
        <v>-1</v>
      </c>
      <c r="X337" s="20">
        <f ca="1"/>
        <v>-7</v>
      </c>
    </row>
    <row r="338" spans="1:26" ht="24" customHeight="1">
      <c r="C338" s="25">
        <v>3</v>
      </c>
      <c r="E338" s="30">
        <v>3</v>
      </c>
      <c r="F338" s="30">
        <v>3</v>
      </c>
      <c r="G338" s="30">
        <v>2</v>
      </c>
      <c r="H338" s="30">
        <v>0</v>
      </c>
      <c r="I338" s="30">
        <v>2</v>
      </c>
      <c r="J338" s="30">
        <v>1</v>
      </c>
      <c r="K338" s="30">
        <v>0</v>
      </c>
      <c r="L338" s="30">
        <v>0</v>
      </c>
      <c r="N338" s="27" t="s">
        <v>16</v>
      </c>
      <c r="Q338" s="20">
        <f ca="1"/>
        <v>-2</v>
      </c>
      <c r="R338" s="20">
        <f ca="1"/>
        <v>-7</v>
      </c>
      <c r="S338" s="20">
        <f ca="1"/>
        <v>-2</v>
      </c>
      <c r="T338" s="20">
        <f ca="1"/>
        <v>-12</v>
      </c>
      <c r="U338" s="20">
        <f ca="1"/>
        <v>-5</v>
      </c>
      <c r="V338" s="20">
        <f ca="1"/>
        <v>5</v>
      </c>
      <c r="W338" s="20">
        <f ca="1"/>
        <v>11</v>
      </c>
      <c r="X338" s="20">
        <f ca="1"/>
        <v>3</v>
      </c>
    </row>
    <row r="339" spans="1:26" ht="24" customHeight="1">
      <c r="C339" s="25">
        <v>4</v>
      </c>
      <c r="E339" s="30">
        <v>3</v>
      </c>
      <c r="F339" s="30">
        <v>1</v>
      </c>
      <c r="G339" s="30">
        <v>0</v>
      </c>
      <c r="H339" s="30">
        <v>1</v>
      </c>
      <c r="I339" s="30">
        <v>1</v>
      </c>
      <c r="J339" s="30">
        <v>1</v>
      </c>
      <c r="K339" s="30">
        <v>0</v>
      </c>
      <c r="L339" s="30">
        <v>1</v>
      </c>
      <c r="N339" s="27" t="s">
        <v>16</v>
      </c>
      <c r="Q339" s="20">
        <f ca="1"/>
        <v>-3</v>
      </c>
      <c r="R339" s="20">
        <f ca="1"/>
        <v>-6</v>
      </c>
      <c r="S339" s="20">
        <f ca="1"/>
        <v>4</v>
      </c>
      <c r="T339" s="20">
        <f ca="1"/>
        <v>-7</v>
      </c>
      <c r="U339" s="20">
        <f ca="1"/>
        <v>1</v>
      </c>
      <c r="V339" s="20">
        <f ca="1"/>
        <v>2</v>
      </c>
      <c r="W339" s="20">
        <f ca="1"/>
        <v>6</v>
      </c>
      <c r="X339" s="20">
        <f ca="1"/>
        <v>6</v>
      </c>
    </row>
    <row r="340" spans="1:26" ht="24" customHeight="1">
      <c r="C340" s="25">
        <v>5</v>
      </c>
      <c r="E340" s="31">
        <v>2</v>
      </c>
      <c r="F340" s="31">
        <v>1</v>
      </c>
      <c r="G340" s="31">
        <v>2</v>
      </c>
      <c r="H340" s="31">
        <v>0</v>
      </c>
      <c r="I340" s="31">
        <v>0</v>
      </c>
      <c r="J340" s="31">
        <v>1</v>
      </c>
      <c r="K340" s="31">
        <v>3</v>
      </c>
      <c r="L340" s="31">
        <v>2</v>
      </c>
      <c r="N340" s="27" t="s">
        <v>16</v>
      </c>
      <c r="Q340" s="21">
        <f ca="1"/>
        <v>7</v>
      </c>
      <c r="R340" s="21">
        <f ca="1"/>
        <v>0</v>
      </c>
      <c r="S340" s="21">
        <f ca="1"/>
        <v>6</v>
      </c>
      <c r="T340" s="21">
        <f ca="1"/>
        <v>-5</v>
      </c>
      <c r="U340" s="21">
        <f ca="1"/>
        <v>0</v>
      </c>
      <c r="V340" s="21">
        <f ca="1"/>
        <v>-2</v>
      </c>
      <c r="W340" s="21">
        <f ca="1"/>
        <v>4</v>
      </c>
      <c r="X340" s="21">
        <f ca="1"/>
        <v>1</v>
      </c>
    </row>
    <row r="343" spans="1:26" s="40" customFormat="1" ht="27">
      <c r="A343" s="40" t="s">
        <v>25</v>
      </c>
    </row>
    <row r="344" spans="1:26" ht="24" customHeight="1">
      <c r="A344" s="17" t="str">
        <f>HYPERLINK("#A1","[top]")</f>
        <v>[top]</v>
      </c>
    </row>
    <row r="346" spans="1:26" ht="24" customHeight="1">
      <c r="O346" t="s">
        <v>26</v>
      </c>
    </row>
    <row r="347" spans="1:26" ht="24" customHeight="1">
      <c r="F347" s="34" cm="1">
        <f t="array" aca="1" ref="F347:M354" ca="1">_xlfn.ANCHORARRAY(Q326)</f>
        <v>0</v>
      </c>
      <c r="G347" s="49">
        <f ca="1"/>
        <v>-2</v>
      </c>
      <c r="H347" s="49">
        <f ca="1"/>
        <v>0</v>
      </c>
      <c r="I347" s="49">
        <f ca="1"/>
        <v>0</v>
      </c>
      <c r="J347" s="49">
        <f ca="1"/>
        <v>0</v>
      </c>
      <c r="K347" s="49">
        <f ca="1"/>
        <v>1</v>
      </c>
      <c r="L347" s="49">
        <f ca="1"/>
        <v>2</v>
      </c>
      <c r="M347" s="35">
        <f ca="1"/>
        <v>2</v>
      </c>
      <c r="O347" s="27" t="s">
        <v>16</v>
      </c>
      <c r="Q347" s="8" cm="1">
        <f t="array" aca="1" ref="Q347:X354" ca="1">EXP(_xlfn.ANCHORARRAY(F347))</f>
        <v>1</v>
      </c>
      <c r="R347" s="9">
        <f ca="1"/>
        <v>0.1353352832366127</v>
      </c>
      <c r="S347" s="9">
        <f ca="1"/>
        <v>1</v>
      </c>
      <c r="T347" s="9">
        <f ca="1"/>
        <v>1</v>
      </c>
      <c r="U347" s="9">
        <f ca="1"/>
        <v>1</v>
      </c>
      <c r="V347" s="9">
        <f ca="1"/>
        <v>2.7182818284590451</v>
      </c>
      <c r="W347" s="9">
        <f ca="1"/>
        <v>7.3890560989306504</v>
      </c>
      <c r="X347" s="10">
        <f ca="1"/>
        <v>7.3890560989306504</v>
      </c>
      <c r="Z347" cm="1">
        <f t="array" aca="1" ref="Z347:Z354" ca="1">_xlfn.BYROW(_xlfn.ANCHORARRAY(Q347),_xleta.SUM)</f>
        <v>21.63172930955696</v>
      </c>
    </row>
    <row r="348" spans="1:26" ht="24" customHeight="1">
      <c r="F348" s="50">
        <f ca="1"/>
        <v>0</v>
      </c>
      <c r="G348" s="43">
        <f ca="1"/>
        <v>0</v>
      </c>
      <c r="H348" s="43">
        <f ca="1"/>
        <v>1</v>
      </c>
      <c r="I348" s="43">
        <f ca="1"/>
        <v>-2</v>
      </c>
      <c r="J348" s="43">
        <f ca="1"/>
        <v>-2</v>
      </c>
      <c r="K348" s="43">
        <f ca="1"/>
        <v>0</v>
      </c>
      <c r="L348" s="43">
        <f ca="1"/>
        <v>1</v>
      </c>
      <c r="M348" s="51">
        <f ca="1"/>
        <v>-2</v>
      </c>
      <c r="Q348" s="11">
        <f ca="1"/>
        <v>1</v>
      </c>
      <c r="R348">
        <f ca="1"/>
        <v>1</v>
      </c>
      <c r="S348">
        <f ca="1"/>
        <v>2.7182818284590451</v>
      </c>
      <c r="T348">
        <f ca="1"/>
        <v>0.1353352832366127</v>
      </c>
      <c r="U348">
        <f ca="1"/>
        <v>0.1353352832366127</v>
      </c>
      <c r="V348">
        <f ca="1"/>
        <v>1</v>
      </c>
      <c r="W348">
        <f ca="1"/>
        <v>2.7182818284590451</v>
      </c>
      <c r="X348" s="12">
        <f ca="1"/>
        <v>0.1353352832366127</v>
      </c>
      <c r="Z348">
        <f ca="1"/>
        <v>8.8425695066279264</v>
      </c>
    </row>
    <row r="349" spans="1:26" ht="24" customHeight="1">
      <c r="F349" s="50">
        <f ca="1"/>
        <v>2</v>
      </c>
      <c r="G349" s="43">
        <f ca="1"/>
        <v>1</v>
      </c>
      <c r="H349" s="43">
        <f ca="1"/>
        <v>-2</v>
      </c>
      <c r="I349" s="43">
        <f ca="1"/>
        <v>-1</v>
      </c>
      <c r="J349" s="43">
        <f ca="1"/>
        <v>-2</v>
      </c>
      <c r="K349" s="43">
        <f ca="1"/>
        <v>2</v>
      </c>
      <c r="L349" s="43">
        <f ca="1"/>
        <v>2</v>
      </c>
      <c r="M349" s="51">
        <f ca="1"/>
        <v>2</v>
      </c>
      <c r="Q349" s="11">
        <f ca="1"/>
        <v>7.3890560989306504</v>
      </c>
      <c r="R349">
        <f ca="1"/>
        <v>2.7182818284590451</v>
      </c>
      <c r="S349">
        <f ca="1"/>
        <v>0.1353352832366127</v>
      </c>
      <c r="T349">
        <f ca="1"/>
        <v>0.36787944117144233</v>
      </c>
      <c r="U349">
        <f ca="1"/>
        <v>0.1353352832366127</v>
      </c>
      <c r="V349">
        <f ca="1"/>
        <v>7.3890560989306504</v>
      </c>
      <c r="W349">
        <f ca="1"/>
        <v>7.3890560989306504</v>
      </c>
      <c r="X349" s="12">
        <f ca="1"/>
        <v>7.3890560989306504</v>
      </c>
      <c r="Z349">
        <f ca="1"/>
        <v>32.913056231826317</v>
      </c>
    </row>
    <row r="350" spans="1:26" ht="24" customHeight="1">
      <c r="F350" s="50">
        <f ca="1"/>
        <v>0</v>
      </c>
      <c r="G350" s="43">
        <f ca="1"/>
        <v>2</v>
      </c>
      <c r="H350" s="43">
        <f ca="1"/>
        <v>2</v>
      </c>
      <c r="I350" s="43">
        <f ca="1"/>
        <v>-1</v>
      </c>
      <c r="J350" s="43">
        <f ca="1"/>
        <v>-1</v>
      </c>
      <c r="K350" s="43">
        <f ca="1"/>
        <v>1</v>
      </c>
      <c r="L350" s="43">
        <f ca="1"/>
        <v>1</v>
      </c>
      <c r="M350" s="51">
        <f ca="1"/>
        <v>2</v>
      </c>
      <c r="Q350" s="11">
        <f ca="1"/>
        <v>1</v>
      </c>
      <c r="R350">
        <f ca="1"/>
        <v>7.3890560989306504</v>
      </c>
      <c r="S350">
        <f ca="1"/>
        <v>7.3890560989306504</v>
      </c>
      <c r="T350">
        <f ca="1"/>
        <v>0.36787944117144233</v>
      </c>
      <c r="U350">
        <f ca="1"/>
        <v>0.36787944117144233</v>
      </c>
      <c r="V350">
        <f ca="1"/>
        <v>2.7182818284590451</v>
      </c>
      <c r="W350">
        <f ca="1"/>
        <v>2.7182818284590451</v>
      </c>
      <c r="X350" s="12">
        <f ca="1"/>
        <v>7.3890560989306504</v>
      </c>
      <c r="Z350">
        <f ca="1"/>
        <v>29.339490836052924</v>
      </c>
    </row>
    <row r="351" spans="1:26" ht="24" customHeight="1">
      <c r="F351" s="50">
        <f ca="1"/>
        <v>-2</v>
      </c>
      <c r="G351" s="43">
        <f ca="1"/>
        <v>-1</v>
      </c>
      <c r="H351" s="43">
        <f ca="1"/>
        <v>0</v>
      </c>
      <c r="I351" s="43">
        <f ca="1"/>
        <v>-1</v>
      </c>
      <c r="J351" s="43">
        <f ca="1"/>
        <v>2</v>
      </c>
      <c r="K351" s="43">
        <f ca="1"/>
        <v>-2</v>
      </c>
      <c r="L351" s="43">
        <f ca="1"/>
        <v>0</v>
      </c>
      <c r="M351" s="51">
        <f ca="1"/>
        <v>0</v>
      </c>
      <c r="Q351" s="11">
        <f ca="1"/>
        <v>0.1353352832366127</v>
      </c>
      <c r="R351">
        <f ca="1"/>
        <v>0.36787944117144233</v>
      </c>
      <c r="S351">
        <f ca="1"/>
        <v>1</v>
      </c>
      <c r="T351">
        <f ca="1"/>
        <v>0.36787944117144233</v>
      </c>
      <c r="U351">
        <f ca="1"/>
        <v>7.3890560989306504</v>
      </c>
      <c r="V351">
        <f ca="1"/>
        <v>0.1353352832366127</v>
      </c>
      <c r="W351">
        <f ca="1"/>
        <v>1</v>
      </c>
      <c r="X351" s="12">
        <f ca="1"/>
        <v>1</v>
      </c>
      <c r="Z351">
        <f ca="1"/>
        <v>11.395485547746761</v>
      </c>
    </row>
    <row r="352" spans="1:26" ht="24" customHeight="1">
      <c r="F352" s="50">
        <f ca="1"/>
        <v>-2</v>
      </c>
      <c r="G352" s="43">
        <f ca="1"/>
        <v>-1</v>
      </c>
      <c r="H352" s="43">
        <f ca="1"/>
        <v>-1</v>
      </c>
      <c r="I352" s="43">
        <f ca="1"/>
        <v>-2</v>
      </c>
      <c r="J352" s="43">
        <f ca="1"/>
        <v>1</v>
      </c>
      <c r="K352" s="43">
        <f ca="1"/>
        <v>2</v>
      </c>
      <c r="L352" s="43">
        <f ca="1"/>
        <v>-2</v>
      </c>
      <c r="M352" s="51">
        <f ca="1"/>
        <v>-1</v>
      </c>
      <c r="Q352" s="11">
        <f ca="1"/>
        <v>0.1353352832366127</v>
      </c>
      <c r="R352">
        <f ca="1"/>
        <v>0.36787944117144233</v>
      </c>
      <c r="S352">
        <f ca="1"/>
        <v>0.36787944117144233</v>
      </c>
      <c r="T352">
        <f ca="1"/>
        <v>0.1353352832366127</v>
      </c>
      <c r="U352">
        <f ca="1"/>
        <v>2.7182818284590451</v>
      </c>
      <c r="V352">
        <f ca="1"/>
        <v>7.3890560989306504</v>
      </c>
      <c r="W352">
        <f ca="1"/>
        <v>0.1353352832366127</v>
      </c>
      <c r="X352" s="12">
        <f ca="1"/>
        <v>0.36787944117144233</v>
      </c>
      <c r="Z352">
        <f ca="1"/>
        <v>11.61698210061386</v>
      </c>
    </row>
    <row r="353" spans="6:26" ht="24" customHeight="1">
      <c r="F353" s="50">
        <f ca="1"/>
        <v>1</v>
      </c>
      <c r="G353" s="43">
        <f ca="1"/>
        <v>1</v>
      </c>
      <c r="H353" s="43">
        <f ca="1"/>
        <v>2</v>
      </c>
      <c r="I353" s="43">
        <f ca="1"/>
        <v>1</v>
      </c>
      <c r="J353" s="43">
        <f ca="1"/>
        <v>1</v>
      </c>
      <c r="K353" s="43">
        <f ca="1"/>
        <v>-2</v>
      </c>
      <c r="L353" s="43">
        <f ca="1"/>
        <v>-1</v>
      </c>
      <c r="M353" s="51">
        <f ca="1"/>
        <v>-2</v>
      </c>
      <c r="Q353" s="11">
        <f ca="1"/>
        <v>2.7182818284590451</v>
      </c>
      <c r="R353">
        <f ca="1"/>
        <v>2.7182818284590451</v>
      </c>
      <c r="S353">
        <f ca="1"/>
        <v>7.3890560989306504</v>
      </c>
      <c r="T353">
        <f ca="1"/>
        <v>2.7182818284590451</v>
      </c>
      <c r="U353">
        <f ca="1"/>
        <v>2.7182818284590451</v>
      </c>
      <c r="V353">
        <f ca="1"/>
        <v>0.1353352832366127</v>
      </c>
      <c r="W353">
        <f ca="1"/>
        <v>0.36787944117144233</v>
      </c>
      <c r="X353" s="12">
        <f ca="1"/>
        <v>0.1353352832366127</v>
      </c>
      <c r="Z353">
        <f ca="1"/>
        <v>18.900733420411502</v>
      </c>
    </row>
    <row r="354" spans="6:26" ht="24" customHeight="1">
      <c r="F354" s="36">
        <f ca="1"/>
        <v>1</v>
      </c>
      <c r="G354" s="52">
        <f ca="1"/>
        <v>0</v>
      </c>
      <c r="H354" s="52">
        <f ca="1"/>
        <v>2</v>
      </c>
      <c r="I354" s="52">
        <f ca="1"/>
        <v>-1</v>
      </c>
      <c r="J354" s="52">
        <f ca="1"/>
        <v>1</v>
      </c>
      <c r="K354" s="52">
        <f ca="1"/>
        <v>-2</v>
      </c>
      <c r="L354" s="52">
        <f ca="1"/>
        <v>0</v>
      </c>
      <c r="M354" s="37">
        <f ca="1"/>
        <v>1</v>
      </c>
      <c r="Q354" s="13">
        <f ca="1"/>
        <v>2.7182818284590451</v>
      </c>
      <c r="R354" s="14">
        <f ca="1"/>
        <v>1</v>
      </c>
      <c r="S354" s="14">
        <f ca="1"/>
        <v>7.3890560989306504</v>
      </c>
      <c r="T354" s="14">
        <f ca="1"/>
        <v>0.36787944117144233</v>
      </c>
      <c r="U354" s="14">
        <f ca="1"/>
        <v>2.7182818284590451</v>
      </c>
      <c r="V354" s="14">
        <f ca="1"/>
        <v>0.1353352832366127</v>
      </c>
      <c r="W354" s="14">
        <f ca="1"/>
        <v>1</v>
      </c>
      <c r="X354" s="15">
        <f ca="1"/>
        <v>2.7182818284590451</v>
      </c>
      <c r="Z354">
        <f ca="1"/>
        <v>18.047116308715839</v>
      </c>
    </row>
    <row r="356" spans="6:26" ht="24" customHeight="1">
      <c r="Q356" cm="1">
        <f t="array" aca="1" ref="Q356:X356" ca="1">_xlfn.BYCOL(_xlfn.ANCHORARRAY(Q347),_xleta.SUM)</f>
        <v>16.096290322321966</v>
      </c>
      <c r="R356">
        <f ca="1"/>
        <v>15.696713921428238</v>
      </c>
      <c r="S356">
        <f ca="1"/>
        <v>27.388664849659051</v>
      </c>
      <c r="T356">
        <f ca="1"/>
        <v>5.4604701596180405</v>
      </c>
      <c r="U356">
        <f ca="1"/>
        <v>17.182451591952454</v>
      </c>
      <c r="V356">
        <f ca="1"/>
        <v>21.620681704489229</v>
      </c>
      <c r="W356">
        <f ca="1"/>
        <v>22.717890579187447</v>
      </c>
      <c r="X356">
        <f ca="1"/>
        <v>26.524000132895665</v>
      </c>
    </row>
    <row r="358" spans="6:26" ht="24" customHeight="1">
      <c r="Q358" s="1" cm="1">
        <f t="array" aca="1" ref="Q358:X365" ca="1">_xlfn.ANCHORARRAY(Q347)/_xlfn.ANCHORARRAY(Q356)</f>
        <v>6.21261160165099E-2</v>
      </c>
      <c r="R358" s="1">
        <f ca="1"/>
        <v>8.6218863332828462E-3</v>
      </c>
      <c r="S358" s="1">
        <f ca="1"/>
        <v>3.6511454847805352E-2</v>
      </c>
      <c r="T358" s="1">
        <f ca="1"/>
        <v>0.18313441347877449</v>
      </c>
      <c r="U358" s="1">
        <f ca="1"/>
        <v>5.8198912689988808E-2</v>
      </c>
      <c r="V358" s="1">
        <f ca="1"/>
        <v>0.12572600002222095</v>
      </c>
      <c r="W358" s="1">
        <f ca="1"/>
        <v>0.32525273740423727</v>
      </c>
      <c r="X358" s="1">
        <f ca="1"/>
        <v>0.27858000535019511</v>
      </c>
      <c r="Z358" cm="1">
        <f t="array" aca="1" ref="Z358:Z365" ca="1">_xlfn.BYROW(_xlfn.ANCHORARRAY(Q358),_xleta.SUM)</f>
        <v>1.0781515261430146</v>
      </c>
    </row>
    <row r="359" spans="6:26" ht="24" customHeight="1">
      <c r="Q359" s="2">
        <f ca="1"/>
        <v>6.21261160165099E-2</v>
      </c>
      <c r="R359" s="2">
        <f ca="1"/>
        <v>6.3707601795230426E-2</v>
      </c>
      <c r="S359" s="2">
        <f ca="1"/>
        <v>9.9248424243392197E-2</v>
      </c>
      <c r="T359" s="2">
        <f ca="1"/>
        <v>2.4784547718520889E-2</v>
      </c>
      <c r="U359" s="2">
        <f ca="1"/>
        <v>7.8763663329625283E-3</v>
      </c>
      <c r="V359" s="2">
        <f ca="1"/>
        <v>4.6252010628895397E-2</v>
      </c>
      <c r="W359" s="2">
        <f ca="1"/>
        <v>0.11965379527575268</v>
      </c>
      <c r="X359" s="2">
        <f ca="1"/>
        <v>5.1023707796158096E-3</v>
      </c>
      <c r="Z359">
        <f ca="1"/>
        <v>0.42875123279087984</v>
      </c>
    </row>
    <row r="360" spans="6:26" ht="24" customHeight="1">
      <c r="Q360" s="2">
        <f ca="1"/>
        <v>0.45905335645466566</v>
      </c>
      <c r="R360" s="2">
        <f ca="1"/>
        <v>0.17317521629467969</v>
      </c>
      <c r="S360" s="2">
        <f ca="1"/>
        <v>4.9412880832085332E-3</v>
      </c>
      <c r="T360" s="2">
        <f ca="1"/>
        <v>6.737138568983142E-2</v>
      </c>
      <c r="U360" s="2">
        <f ca="1"/>
        <v>7.8763663329625283E-3</v>
      </c>
      <c r="V360" s="2">
        <f ca="1"/>
        <v>0.34175870122524477</v>
      </c>
      <c r="W360" s="2">
        <f ca="1"/>
        <v>0.32525273740423727</v>
      </c>
      <c r="X360" s="2">
        <f ca="1"/>
        <v>0.27858000535019511</v>
      </c>
      <c r="Z360">
        <f ca="1"/>
        <v>1.658009056835025</v>
      </c>
    </row>
    <row r="361" spans="6:26" ht="24" customHeight="1">
      <c r="Q361" s="2">
        <f ca="1"/>
        <v>6.21261160165099E-2</v>
      </c>
      <c r="R361" s="2">
        <f ca="1"/>
        <v>0.47073904359329261</v>
      </c>
      <c r="S361" s="2">
        <f ca="1"/>
        <v>0.2697851881240072</v>
      </c>
      <c r="T361" s="2">
        <f ca="1"/>
        <v>6.737138568983142E-2</v>
      </c>
      <c r="U361" s="2">
        <f ca="1"/>
        <v>2.1410183477178647E-2</v>
      </c>
      <c r="V361" s="2">
        <f ca="1"/>
        <v>0.12572600002222095</v>
      </c>
      <c r="W361" s="2">
        <f ca="1"/>
        <v>0.11965379527575268</v>
      </c>
      <c r="X361" s="2">
        <f ca="1"/>
        <v>0.27858000535019511</v>
      </c>
      <c r="Z361">
        <f ca="1"/>
        <v>1.4153917175489883</v>
      </c>
    </row>
    <row r="362" spans="6:26" ht="24" customHeight="1">
      <c r="Q362" s="2">
        <f ca="1"/>
        <v>8.4078555074850285E-3</v>
      </c>
      <c r="R362" s="2">
        <f ca="1"/>
        <v>2.3436716946802147E-2</v>
      </c>
      <c r="S362" s="2">
        <f ca="1"/>
        <v>3.6511454847805352E-2</v>
      </c>
      <c r="T362" s="2">
        <f ca="1"/>
        <v>6.737138568983142E-2</v>
      </c>
      <c r="U362" s="2">
        <f ca="1"/>
        <v>0.43003503076309418</v>
      </c>
      <c r="V362" s="2">
        <f ca="1"/>
        <v>6.2595289587243797E-3</v>
      </c>
      <c r="W362" s="2">
        <f ca="1"/>
        <v>4.4018171340086058E-2</v>
      </c>
      <c r="X362" s="2">
        <f ca="1"/>
        <v>3.7701703928125732E-2</v>
      </c>
      <c r="Z362">
        <f ca="1"/>
        <v>0.65374184798195434</v>
      </c>
    </row>
    <row r="363" spans="6:26" ht="24" customHeight="1">
      <c r="Q363" s="2">
        <f ca="1"/>
        <v>8.4078555074850285E-3</v>
      </c>
      <c r="R363" s="2">
        <f ca="1"/>
        <v>2.3436716946802147E-2</v>
      </c>
      <c r="S363" s="2">
        <f ca="1"/>
        <v>1.3431813605766982E-2</v>
      </c>
      <c r="T363" s="2">
        <f ca="1"/>
        <v>2.4784547718520889E-2</v>
      </c>
      <c r="U363" s="2">
        <f ca="1"/>
        <v>0.15820104680127109</v>
      </c>
      <c r="V363" s="2">
        <f ca="1"/>
        <v>0.34175870122524477</v>
      </c>
      <c r="W363" s="2">
        <f ca="1"/>
        <v>5.9572116858682949E-3</v>
      </c>
      <c r="X363" s="2">
        <f ca="1"/>
        <v>1.3869681772290067E-2</v>
      </c>
      <c r="Z363">
        <f ca="1"/>
        <v>0.58984757526324927</v>
      </c>
    </row>
    <row r="364" spans="6:26" ht="24" customHeight="1">
      <c r="Q364" s="2">
        <f ca="1"/>
        <v>0.16887629224041731</v>
      </c>
      <c r="R364" s="2">
        <f ca="1"/>
        <v>0.17317521629467969</v>
      </c>
      <c r="S364" s="2">
        <f ca="1"/>
        <v>0.2697851881240072</v>
      </c>
      <c r="T364" s="2">
        <f ca="1"/>
        <v>0.49781094832485795</v>
      </c>
      <c r="U364" s="2">
        <f ca="1"/>
        <v>0.15820104680127109</v>
      </c>
      <c r="V364" s="2">
        <f ca="1"/>
        <v>6.2595289587243797E-3</v>
      </c>
      <c r="W364" s="2">
        <f ca="1"/>
        <v>1.6193380273979659E-2</v>
      </c>
      <c r="X364" s="2">
        <f ca="1"/>
        <v>5.1023707796158096E-3</v>
      </c>
      <c r="Z364">
        <f ca="1"/>
        <v>1.2954039717975532</v>
      </c>
    </row>
    <row r="365" spans="6:26" ht="24" customHeight="1">
      <c r="Q365" s="3">
        <f ca="1"/>
        <v>0.16887629224041731</v>
      </c>
      <c r="R365" s="3">
        <f ca="1"/>
        <v>6.3707601795230426E-2</v>
      </c>
      <c r="S365" s="3">
        <f ca="1"/>
        <v>0.2697851881240072</v>
      </c>
      <c r="T365" s="3">
        <f ca="1"/>
        <v>6.737138568983142E-2</v>
      </c>
      <c r="U365" s="3">
        <f ca="1"/>
        <v>0.15820104680127109</v>
      </c>
      <c r="V365" s="3">
        <f ca="1"/>
        <v>6.2595289587243797E-3</v>
      </c>
      <c r="W365" s="3">
        <f ca="1"/>
        <v>4.4018171340086058E-2</v>
      </c>
      <c r="X365" s="3">
        <f ca="1"/>
        <v>0.10248385668976719</v>
      </c>
      <c r="Z365">
        <f ca="1"/>
        <v>0.88070307163933514</v>
      </c>
    </row>
    <row r="367" spans="6:26" ht="24" customHeight="1">
      <c r="Q367" cm="1">
        <f t="array" aca="1" ref="Q367:X367" ca="1">_xlfn.BYCOL(_xlfn.ANCHORARRAY(Q358),_xleta.SUM)</f>
        <v>1</v>
      </c>
      <c r="R367">
        <f ca="1"/>
        <v>1</v>
      </c>
      <c r="S367">
        <f ca="1"/>
        <v>1</v>
      </c>
      <c r="T367">
        <f ca="1"/>
        <v>1</v>
      </c>
      <c r="U367">
        <f ca="1"/>
        <v>1</v>
      </c>
      <c r="V367">
        <f ca="1"/>
        <v>1</v>
      </c>
      <c r="W367">
        <f ca="1"/>
        <v>0.99999999999999989</v>
      </c>
      <c r="X367">
        <f ca="1"/>
        <v>1</v>
      </c>
    </row>
    <row r="369" spans="17:26" ht="24" customHeight="1">
      <c r="Q369" s="38" cm="1">
        <f t="array" aca="1" ref="Q369:X376" ca="1">_xlfn.ANCHORARRAY(Q358)/_xlfn.ANCHORARRAY(Z358)</f>
        <v>5.7622805802409076E-2</v>
      </c>
      <c r="R369" s="53">
        <f ca="1"/>
        <v>7.9969152055340796E-3</v>
      </c>
      <c r="S369" s="53">
        <f ca="1"/>
        <v>3.3864864040420772E-2</v>
      </c>
      <c r="T369" s="53">
        <f ca="1"/>
        <v>0.16985962458720491</v>
      </c>
      <c r="U369" s="53">
        <f ca="1"/>
        <v>5.3980272047835363E-2</v>
      </c>
      <c r="V369" s="53">
        <f ca="1"/>
        <v>0.11661255118006822</v>
      </c>
      <c r="W369" s="53">
        <f ca="1"/>
        <v>0.30167627603125347</v>
      </c>
      <c r="X369" s="39">
        <f ca="1"/>
        <v>0.25838669110527424</v>
      </c>
      <c r="Z369" cm="1">
        <f t="array" aca="1" ref="Z369:Z376" ca="1">_xlfn.BYROW(_xlfn.ANCHORARRAY(Q369),_xleta.SUM)</f>
        <v>1</v>
      </c>
    </row>
    <row r="370" spans="17:26" ht="24" customHeight="1">
      <c r="Q370" s="38">
        <f ca="1"/>
        <v>0.14490014550421465</v>
      </c>
      <c r="R370" s="53">
        <f ca="1"/>
        <v>0.14858873146681614</v>
      </c>
      <c r="S370" s="53">
        <f ca="1"/>
        <v>0.23148253964741336</v>
      </c>
      <c r="T370" s="53">
        <f ca="1"/>
        <v>5.7806359079576951E-2</v>
      </c>
      <c r="U370" s="53">
        <f ca="1"/>
        <v>1.8370480900294382E-2</v>
      </c>
      <c r="V370" s="53">
        <f ca="1"/>
        <v>0.10787609945241712</v>
      </c>
      <c r="W370" s="53">
        <f ca="1"/>
        <v>0.27907510492013654</v>
      </c>
      <c r="X370" s="39">
        <f ca="1"/>
        <v>1.1900539029130797E-2</v>
      </c>
      <c r="Z370">
        <f ca="1"/>
        <v>1</v>
      </c>
    </row>
    <row r="371" spans="17:26" ht="24" customHeight="1">
      <c r="Q371" s="38">
        <f ca="1"/>
        <v>0.27687023455164533</v>
      </c>
      <c r="R371" s="53">
        <f ca="1"/>
        <v>0.10444769018647825</v>
      </c>
      <c r="S371" s="53">
        <f ca="1"/>
        <v>2.980253975597071E-3</v>
      </c>
      <c r="T371" s="53">
        <f ca="1"/>
        <v>4.0633906921133903E-2</v>
      </c>
      <c r="U371" s="53">
        <f ca="1"/>
        <v>4.7504965672489942E-3</v>
      </c>
      <c r="V371" s="53">
        <f ca="1"/>
        <v>0.20612595559497623</v>
      </c>
      <c r="W371" s="53">
        <f ca="1"/>
        <v>0.19617066388353302</v>
      </c>
      <c r="X371" s="39">
        <f ca="1"/>
        <v>0.16802079831938718</v>
      </c>
      <c r="Z371">
        <f ca="1"/>
        <v>1</v>
      </c>
    </row>
    <row r="372" spans="17:26" ht="24" customHeight="1">
      <c r="Q372" s="38">
        <f ca="1"/>
        <v>4.3893231284476301E-2</v>
      </c>
      <c r="R372" s="53">
        <f ca="1"/>
        <v>0.332585698896461</v>
      </c>
      <c r="S372" s="53">
        <f ca="1"/>
        <v>0.1906081438650708</v>
      </c>
      <c r="T372" s="53">
        <f ca="1"/>
        <v>4.7599109740798395E-2</v>
      </c>
      <c r="U372" s="53">
        <f ca="1"/>
        <v>1.5126684162215055E-2</v>
      </c>
      <c r="V372" s="53">
        <f ca="1"/>
        <v>8.8827706466969233E-2</v>
      </c>
      <c r="W372" s="53">
        <f ca="1"/>
        <v>8.4537583336262045E-2</v>
      </c>
      <c r="X372" s="39">
        <f ca="1"/>
        <v>0.19682184224774732</v>
      </c>
      <c r="Z372">
        <f ca="1"/>
        <v>1.0000000000000002</v>
      </c>
    </row>
    <row r="373" spans="17:26" ht="24" customHeight="1">
      <c r="Q373" s="38">
        <f ca="1"/>
        <v>1.286112482081324E-2</v>
      </c>
      <c r="R373" s="53">
        <f ca="1"/>
        <v>3.5850109671194071E-2</v>
      </c>
      <c r="S373" s="53">
        <f ca="1"/>
        <v>5.5849958145578589E-2</v>
      </c>
      <c r="T373" s="53">
        <f ca="1"/>
        <v>0.10305502989873018</v>
      </c>
      <c r="U373" s="53">
        <f ca="1"/>
        <v>0.65780557278163521</v>
      </c>
      <c r="V373" s="53">
        <f ca="1"/>
        <v>9.5749246863223066E-3</v>
      </c>
      <c r="W373" s="53">
        <f ca="1"/>
        <v>6.7332650458229684E-2</v>
      </c>
      <c r="X373" s="39">
        <f ca="1"/>
        <v>5.7670629537496639E-2</v>
      </c>
      <c r="Z373">
        <f ca="1"/>
        <v>0.99999999999999989</v>
      </c>
    </row>
    <row r="374" spans="17:26" ht="24" customHeight="1">
      <c r="Q374" s="38">
        <f ca="1"/>
        <v>1.425428510701701E-2</v>
      </c>
      <c r="R374" s="53">
        <f ca="1"/>
        <v>3.9733514096997567E-2</v>
      </c>
      <c r="S374" s="53">
        <f ca="1"/>
        <v>2.2771668765057408E-2</v>
      </c>
      <c r="T374" s="53">
        <f ca="1"/>
        <v>4.2018563367764175E-2</v>
      </c>
      <c r="U374" s="53">
        <f ca="1"/>
        <v>0.26820665784828546</v>
      </c>
      <c r="V374" s="53">
        <f ca="1"/>
        <v>0.57940172267846946</v>
      </c>
      <c r="W374" s="53">
        <f ca="1"/>
        <v>1.0099578154931956E-2</v>
      </c>
      <c r="X374" s="39">
        <f ca="1"/>
        <v>2.3514009981477031E-2</v>
      </c>
      <c r="Z374">
        <f ca="1"/>
        <v>1.0000000000000002</v>
      </c>
    </row>
    <row r="375" spans="17:26" ht="24" customHeight="1">
      <c r="Q375" s="38">
        <f ca="1"/>
        <v>0.13036573603065146</v>
      </c>
      <c r="R375" s="53">
        <f ca="1"/>
        <v>0.13368433327742155</v>
      </c>
      <c r="S375" s="53">
        <f ca="1"/>
        <v>0.20826336339670376</v>
      </c>
      <c r="T375" s="53">
        <f ca="1"/>
        <v>0.38429012042789712</v>
      </c>
      <c r="U375" s="53">
        <f ca="1"/>
        <v>0.12212487397405856</v>
      </c>
      <c r="V375" s="53">
        <f ca="1"/>
        <v>4.8321057330389479E-3</v>
      </c>
      <c r="W375" s="53">
        <f ca="1"/>
        <v>1.2500641210408744E-2</v>
      </c>
      <c r="X375" s="39">
        <f ca="1"/>
        <v>3.9388259498197775E-3</v>
      </c>
      <c r="Z375">
        <f ca="1"/>
        <v>0.99999999999999989</v>
      </c>
    </row>
    <row r="376" spans="17:26" ht="24" customHeight="1">
      <c r="Q376" s="38">
        <f ca="1"/>
        <v>0.1917516784925844</v>
      </c>
      <c r="R376" s="53">
        <f ca="1"/>
        <v>7.2337208585687679E-2</v>
      </c>
      <c r="S376" s="53">
        <f ca="1"/>
        <v>0.30632933710771643</v>
      </c>
      <c r="T376" s="53">
        <f ca="1"/>
        <v>7.6497275709992416E-2</v>
      </c>
      <c r="U376" s="53">
        <f ca="1"/>
        <v>0.17963040200007099</v>
      </c>
      <c r="V376" s="53">
        <f ca="1"/>
        <v>7.10742264935324E-3</v>
      </c>
      <c r="W376" s="53">
        <f ca="1"/>
        <v>4.9980717403597684E-2</v>
      </c>
      <c r="X376" s="39">
        <f ca="1"/>
        <v>0.11636595805099711</v>
      </c>
      <c r="Z376">
        <f ca="1"/>
        <v>1</v>
      </c>
    </row>
    <row r="378" spans="17:26" ht="24" customHeight="1">
      <c r="Q378" cm="1">
        <f t="array" aca="1" ref="Q378:X378" ca="1">_xlfn.BYCOL(_xlfn.ANCHORARRAY(Q369),_xleta.SUM)</f>
        <v>0.87251924159381145</v>
      </c>
      <c r="R378">
        <f ca="1"/>
        <v>0.87522420138659041</v>
      </c>
      <c r="S378">
        <f ca="1"/>
        <v>1.0521501289435584</v>
      </c>
      <c r="T378">
        <f ca="1"/>
        <v>0.92175998973309803</v>
      </c>
      <c r="U378">
        <f ca="1"/>
        <v>1.3199954402816438</v>
      </c>
      <c r="V378">
        <f ca="1"/>
        <v>1.1203584884416149</v>
      </c>
      <c r="W378">
        <f ca="1"/>
        <v>1.0013732153983532</v>
      </c>
      <c r="X378">
        <f ca="1"/>
        <v>0.83661929422133019</v>
      </c>
    </row>
    <row r="380" spans="17:26" ht="24" customHeight="1">
      <c r="Q380" s="1" cm="1">
        <f t="array" aca="1" ref="Q380:X387" ca="1">_xlfn.ANCHORARRAY(Q369)/_xlfn.ANCHORARRAY(Q378)</f>
        <v>6.6041873984521854E-2</v>
      </c>
      <c r="R380" s="1">
        <f ca="1"/>
        <v>9.1369904909677051E-3</v>
      </c>
      <c r="S380" s="1">
        <f ca="1"/>
        <v>3.2186342147221672E-2</v>
      </c>
      <c r="T380" s="1">
        <f ca="1"/>
        <v>0.18427749791612125</v>
      </c>
      <c r="U380" s="1">
        <f ca="1"/>
        <v>4.0894286753231313E-2</v>
      </c>
      <c r="V380" s="1">
        <f ca="1"/>
        <v>0.10408503383793949</v>
      </c>
      <c r="W380" s="1">
        <f ca="1"/>
        <v>0.30126257762071712</v>
      </c>
      <c r="X380" s="1">
        <f ca="1"/>
        <v>0.30884620148016484</v>
      </c>
      <c r="Z380" cm="1">
        <f t="array" aca="1" ref="Z380:Z387" ca="1">_xlfn.BYROW(_xlfn.ANCHORARRAY(Q380),_xleta.SUM)</f>
        <v>1.0467308042308852</v>
      </c>
    </row>
    <row r="381" spans="17:26" ht="24" customHeight="1">
      <c r="Q381" s="2">
        <f ca="1"/>
        <v>0.16607100290364804</v>
      </c>
      <c r="R381" s="2">
        <f ca="1"/>
        <v>0.16977219234958499</v>
      </c>
      <c r="S381" s="2">
        <f ca="1"/>
        <v>0.22000903985046322</v>
      </c>
      <c r="T381" s="2">
        <f ca="1"/>
        <v>6.271302695218435E-2</v>
      </c>
      <c r="U381" s="2">
        <f ca="1"/>
        <v>1.3917079059284267E-2</v>
      </c>
      <c r="V381" s="2">
        <f ca="1"/>
        <v>9.628712645580928E-2</v>
      </c>
      <c r="W381" s="2">
        <f ca="1"/>
        <v>0.2786924002247439</v>
      </c>
      <c r="X381" s="2">
        <f ca="1"/>
        <v>1.422455722851459E-2</v>
      </c>
      <c r="Z381">
        <f ca="1"/>
        <v>1.0216864250242328</v>
      </c>
    </row>
    <row r="382" spans="17:26" ht="24" customHeight="1">
      <c r="Q382" s="2">
        <f ca="1"/>
        <v>0.31732278367396533</v>
      </c>
      <c r="R382" s="2">
        <f ca="1"/>
        <v>0.11933821073618055</v>
      </c>
      <c r="S382" s="2">
        <f ca="1"/>
        <v>2.8325368154347714E-3</v>
      </c>
      <c r="T382" s="2">
        <f ca="1"/>
        <v>4.4082958008298596E-2</v>
      </c>
      <c r="U382" s="2">
        <f ca="1"/>
        <v>3.5988734674987921E-3</v>
      </c>
      <c r="V382" s="2">
        <f ca="1"/>
        <v>0.18398214296719551</v>
      </c>
      <c r="W382" s="2">
        <f ca="1"/>
        <v>0.19590164872294388</v>
      </c>
      <c r="X382" s="2">
        <f ca="1"/>
        <v>0.20083304255583756</v>
      </c>
      <c r="Z382">
        <f ca="1"/>
        <v>1.0678921969473549</v>
      </c>
    </row>
    <row r="383" spans="17:26" ht="24" customHeight="1">
      <c r="Q383" s="2">
        <f ca="1"/>
        <v>5.0306318980768282E-2</v>
      </c>
      <c r="R383" s="2">
        <f ca="1"/>
        <v>0.38000057398956272</v>
      </c>
      <c r="S383" s="2">
        <f ca="1"/>
        <v>0.18116059545271965</v>
      </c>
      <c r="T383" s="2">
        <f ca="1"/>
        <v>5.1639374968511106E-2</v>
      </c>
      <c r="U383" s="2">
        <f ca="1"/>
        <v>1.1459648799231848E-2</v>
      </c>
      <c r="V383" s="2">
        <f ca="1"/>
        <v>7.9285074717937748E-2</v>
      </c>
      <c r="W383" s="2">
        <f ca="1"/>
        <v>8.4421654220731682E-2</v>
      </c>
      <c r="X383" s="2">
        <f ca="1"/>
        <v>0.23525855022377418</v>
      </c>
      <c r="Z383">
        <f ca="1"/>
        <v>1.0735317913532372</v>
      </c>
    </row>
    <row r="384" spans="17:26" ht="24" customHeight="1">
      <c r="Q384" s="2">
        <f ca="1"/>
        <v>1.4740219135248077E-2</v>
      </c>
      <c r="R384" s="2">
        <f ca="1"/>
        <v>4.0961058451534887E-2</v>
      </c>
      <c r="S384" s="2">
        <f ca="1"/>
        <v>5.3081738631402677E-2</v>
      </c>
      <c r="T384" s="2">
        <f ca="1"/>
        <v>0.11180245513647265</v>
      </c>
      <c r="U384" s="2">
        <f ca="1"/>
        <v>0.4983392765669562</v>
      </c>
      <c r="V384" s="2">
        <f ca="1"/>
        <v>8.5463044062269213E-3</v>
      </c>
      <c r="W384" s="2">
        <f ca="1"/>
        <v>6.7240315022251002E-2</v>
      </c>
      <c r="X384" s="2">
        <f ca="1"/>
        <v>6.893294230223633E-2</v>
      </c>
      <c r="Z384">
        <f ca="1"/>
        <v>0.86364430965232886</v>
      </c>
    </row>
    <row r="385" spans="17:26" ht="24" customHeight="1">
      <c r="Q385" s="2">
        <f ca="1"/>
        <v>1.6336929236057906E-2</v>
      </c>
      <c r="R385" s="2">
        <f ca="1"/>
        <v>4.5398098034822393E-2</v>
      </c>
      <c r="S385" s="2">
        <f ca="1"/>
        <v>2.164298434095328E-2</v>
      </c>
      <c r="T385" s="2">
        <f ca="1"/>
        <v>4.5585145629862871E-2</v>
      </c>
      <c r="U385" s="2">
        <f ca="1"/>
        <v>0.20318756388359865</v>
      </c>
      <c r="V385" s="2">
        <f ca="1"/>
        <v>0.51715743546014448</v>
      </c>
      <c r="W385" s="2">
        <f ca="1"/>
        <v>1.0085728277557608E-2</v>
      </c>
      <c r="X385" s="2">
        <f ca="1"/>
        <v>2.8105985773806845E-2</v>
      </c>
      <c r="Z385">
        <f ca="1"/>
        <v>0.88749987063680402</v>
      </c>
    </row>
    <row r="386" spans="17:26" ht="24" customHeight="1">
      <c r="Q386" s="2">
        <f ca="1"/>
        <v>0.14941302130198902</v>
      </c>
      <c r="R386" s="2">
        <f ca="1"/>
        <v>0.15274295782226957</v>
      </c>
      <c r="S386" s="2">
        <f ca="1"/>
        <v>0.19794072886330069</v>
      </c>
      <c r="T386" s="2">
        <f ca="1"/>
        <v>0.41690909207197308</v>
      </c>
      <c r="U386" s="2">
        <f ca="1"/>
        <v>9.2519163511656607E-2</v>
      </c>
      <c r="V386" s="2">
        <f ca="1"/>
        <v>4.3129996183277567E-3</v>
      </c>
      <c r="W386" s="2">
        <f ca="1"/>
        <v>1.2483498677799068E-2</v>
      </c>
      <c r="X386" s="2">
        <f ca="1"/>
        <v>4.7080266699870647E-3</v>
      </c>
      <c r="Z386">
        <f ca="1"/>
        <v>1.031029488537303</v>
      </c>
    </row>
    <row r="387" spans="17:26" ht="24" customHeight="1">
      <c r="Q387" s="3">
        <f ca="1"/>
        <v>0.21976785078380148</v>
      </c>
      <c r="R387" s="3">
        <f ca="1"/>
        <v>8.264991812507709E-2</v>
      </c>
      <c r="S387" s="3">
        <f ca="1"/>
        <v>0.2911460338985038</v>
      </c>
      <c r="T387" s="3">
        <f ca="1"/>
        <v>8.2990449316576134E-2</v>
      </c>
      <c r="U387" s="3">
        <f ca="1"/>
        <v>0.13608410795854245</v>
      </c>
      <c r="V387" s="3">
        <f ca="1"/>
        <v>6.343882536418724E-3</v>
      </c>
      <c r="W387" s="3">
        <f ca="1"/>
        <v>4.9912177233255639E-2</v>
      </c>
      <c r="X387" s="3">
        <f ca="1"/>
        <v>0.13909069376567851</v>
      </c>
      <c r="Z387">
        <f ca="1"/>
        <v>1.0079851136178539</v>
      </c>
    </row>
    <row r="389" spans="17:26" ht="24" customHeight="1">
      <c r="Q389" cm="1">
        <f t="array" aca="1" ref="Q389:X389" ca="1">_xlfn.BYCOL(_xlfn.ANCHORARRAY(Q380),_xleta.SUM)</f>
        <v>1</v>
      </c>
      <c r="R389">
        <f ca="1"/>
        <v>0.99999999999999989</v>
      </c>
      <c r="S389">
        <f ca="1"/>
        <v>0.99999999999999978</v>
      </c>
      <c r="T389">
        <f ca="1"/>
        <v>1</v>
      </c>
      <c r="U389">
        <f ca="1"/>
        <v>1.0000000000000002</v>
      </c>
      <c r="V389">
        <f ca="1"/>
        <v>0.99999999999999989</v>
      </c>
      <c r="W389">
        <f ca="1"/>
        <v>1</v>
      </c>
      <c r="X389">
        <f ca="1"/>
        <v>0.99999999999999989</v>
      </c>
    </row>
    <row r="391" spans="17:26" ht="24" customHeight="1">
      <c r="Q391" s="38" cm="1">
        <f t="array" aca="1" ref="Q391:X398" ca="1">_xlfn.ANCHORARRAY(Q380)/_xlfn.ANCHORARRAY(Z380)</f>
        <v>6.30934655955291E-2</v>
      </c>
      <c r="R391" s="53">
        <f ca="1"/>
        <v>8.7290738497768448E-3</v>
      </c>
      <c r="S391" s="53">
        <f ca="1"/>
        <v>3.0749398046875567E-2</v>
      </c>
      <c r="T391" s="53">
        <f ca="1"/>
        <v>0.17605051573076069</v>
      </c>
      <c r="U391" s="53">
        <f ca="1"/>
        <v>3.9068580563346979E-2</v>
      </c>
      <c r="V391" s="53">
        <f ca="1"/>
        <v>9.9438206477948154E-2</v>
      </c>
      <c r="W391" s="53">
        <f ca="1"/>
        <v>0.28781285159757791</v>
      </c>
      <c r="X391" s="39">
        <f ca="1"/>
        <v>0.29505790813818483</v>
      </c>
      <c r="Z391" cm="1">
        <f t="array" aca="1" ref="Z391:Z398" ca="1">_xlfn.BYROW(_xlfn.ANCHORARRAY(Q391),_xleta.SUM)</f>
        <v>1</v>
      </c>
    </row>
    <row r="392" spans="17:26" ht="24" customHeight="1">
      <c r="Q392" s="38">
        <f ca="1"/>
        <v>0.16254596208392325</v>
      </c>
      <c r="R392" s="53">
        <f ca="1"/>
        <v>0.16616858968793508</v>
      </c>
      <c r="S392" s="53">
        <f ca="1"/>
        <v>0.21533910450581248</v>
      </c>
      <c r="T392" s="53">
        <f ca="1"/>
        <v>6.1381873553519026E-2</v>
      </c>
      <c r="U392" s="53">
        <f ca="1"/>
        <v>1.3621673654863503E-2</v>
      </c>
      <c r="V392" s="53">
        <f ca="1"/>
        <v>9.4243325640277056E-2</v>
      </c>
      <c r="W392" s="53">
        <f ca="1"/>
        <v>0.2727768456139894</v>
      </c>
      <c r="X392" s="39">
        <f ca="1"/>
        <v>1.3922625259680049E-2</v>
      </c>
      <c r="Z392">
        <f ca="1"/>
        <v>0.99999999999999978</v>
      </c>
    </row>
    <row r="393" spans="17:26" ht="24" customHeight="1">
      <c r="Q393" s="38">
        <f ca="1"/>
        <v>0.29714870525419596</v>
      </c>
      <c r="R393" s="53">
        <f ca="1"/>
        <v>0.11175117776618017</v>
      </c>
      <c r="S393" s="53">
        <f ca="1"/>
        <v>2.6524557661642039E-3</v>
      </c>
      <c r="T393" s="53">
        <f ca="1"/>
        <v>4.1280344714862451E-2</v>
      </c>
      <c r="U393" s="53">
        <f ca="1"/>
        <v>3.370071883460171E-3</v>
      </c>
      <c r="V393" s="53">
        <f ca="1"/>
        <v>0.17228531446631171</v>
      </c>
      <c r="W393" s="53">
        <f ca="1"/>
        <v>0.1834470270341356</v>
      </c>
      <c r="X393" s="39">
        <f ca="1"/>
        <v>0.18806490311468982</v>
      </c>
      <c r="Z393">
        <f ca="1"/>
        <v>1</v>
      </c>
    </row>
    <row r="394" spans="17:26" ht="24" customHeight="1">
      <c r="Q394" s="38">
        <f ca="1"/>
        <v>4.6860576823118401E-2</v>
      </c>
      <c r="R394" s="53">
        <f ca="1"/>
        <v>0.35397235279875056</v>
      </c>
      <c r="S394" s="53">
        <f ca="1"/>
        <v>0.16875196143409801</v>
      </c>
      <c r="T394" s="53">
        <f ca="1"/>
        <v>4.8102324853758871E-2</v>
      </c>
      <c r="U394" s="53">
        <f ca="1"/>
        <v>1.0674717685618257E-2</v>
      </c>
      <c r="V394" s="53">
        <f ca="1"/>
        <v>7.3854426442271623E-2</v>
      </c>
      <c r="W394" s="53">
        <f ca="1"/>
        <v>7.8639174825287872E-2</v>
      </c>
      <c r="X394" s="39">
        <f ca="1"/>
        <v>0.21914446513709646</v>
      </c>
      <c r="Z394">
        <f ca="1"/>
        <v>1</v>
      </c>
    </row>
    <row r="395" spans="17:26" ht="24" customHeight="1">
      <c r="Q395" s="38">
        <f ca="1"/>
        <v>1.7067465124828925E-2</v>
      </c>
      <c r="R395" s="53">
        <f ca="1"/>
        <v>4.7428157626632529E-2</v>
      </c>
      <c r="S395" s="53">
        <f ca="1"/>
        <v>6.1462500288772141E-2</v>
      </c>
      <c r="T395" s="53">
        <f ca="1"/>
        <v>0.12945428330498718</v>
      </c>
      <c r="U395" s="53">
        <f ca="1"/>
        <v>0.57701911654760873</v>
      </c>
      <c r="V395" s="53">
        <f ca="1"/>
        <v>9.8956298451932673E-3</v>
      </c>
      <c r="W395" s="53">
        <f ca="1"/>
        <v>7.7856490537544856E-2</v>
      </c>
      <c r="X395" s="39">
        <f ca="1"/>
        <v>7.9816356724432283E-2</v>
      </c>
      <c r="Z395">
        <f ca="1"/>
        <v>1</v>
      </c>
    </row>
    <row r="396" spans="17:26" ht="24" customHeight="1">
      <c r="Q396" s="38">
        <f ca="1"/>
        <v>1.8407810273071631E-2</v>
      </c>
      <c r="R396" s="53">
        <f ca="1"/>
        <v>5.1152793974209923E-2</v>
      </c>
      <c r="S396" s="53">
        <f ca="1"/>
        <v>2.4386464783847102E-2</v>
      </c>
      <c r="T396" s="53">
        <f ca="1"/>
        <v>5.136355185849701E-2</v>
      </c>
      <c r="U396" s="53">
        <f ca="1"/>
        <v>0.22894376732450264</v>
      </c>
      <c r="V396" s="53">
        <f ca="1"/>
        <v>0.58271268827236078</v>
      </c>
      <c r="W396" s="53">
        <f ca="1"/>
        <v>1.1364202532582723E-2</v>
      </c>
      <c r="X396" s="39">
        <f ca="1"/>
        <v>3.1668720980928232E-2</v>
      </c>
      <c r="Z396">
        <f ca="1"/>
        <v>1</v>
      </c>
    </row>
    <row r="397" spans="17:26" ht="24" customHeight="1">
      <c r="Q397" s="38">
        <f ca="1"/>
        <v>0.14491634134922535</v>
      </c>
      <c r="R397" s="53">
        <f ca="1"/>
        <v>0.1481460613109741</v>
      </c>
      <c r="S397" s="53">
        <f ca="1"/>
        <v>0.19198357667161828</v>
      </c>
      <c r="T397" s="53">
        <f ca="1"/>
        <v>0.40436194765237227</v>
      </c>
      <c r="U397" s="53">
        <f ca="1"/>
        <v>8.9734740412625191E-2</v>
      </c>
      <c r="V397" s="53">
        <f ca="1"/>
        <v>4.1831971503031463E-3</v>
      </c>
      <c r="W397" s="53">
        <f ca="1"/>
        <v>1.2107799841408135E-2</v>
      </c>
      <c r="X397" s="39">
        <f ca="1"/>
        <v>4.5663356114733732E-3</v>
      </c>
      <c r="Z397">
        <f ca="1"/>
        <v>0.99999999999999967</v>
      </c>
    </row>
    <row r="398" spans="17:26" ht="24" customHeight="1">
      <c r="Q398" s="38">
        <f ca="1"/>
        <v>0.21802688136436071</v>
      </c>
      <c r="R398" s="53">
        <f ca="1"/>
        <v>8.1995177318076179E-2</v>
      </c>
      <c r="S398" s="53">
        <f ca="1"/>
        <v>0.28883961674148567</v>
      </c>
      <c r="T398" s="53">
        <f ca="1"/>
        <v>8.2333010870276974E-2</v>
      </c>
      <c r="U398" s="53">
        <f ca="1"/>
        <v>0.13500606915722219</v>
      </c>
      <c r="V398" s="53">
        <f ca="1"/>
        <v>6.293627208093679E-3</v>
      </c>
      <c r="W398" s="53">
        <f ca="1"/>
        <v>4.9516780118022935E-2</v>
      </c>
      <c r="X398" s="39">
        <f ca="1"/>
        <v>0.13798883722246161</v>
      </c>
      <c r="Z398">
        <f ca="1"/>
        <v>1.0000000000000002</v>
      </c>
    </row>
    <row r="400" spans="17:26" ht="24" customHeight="1">
      <c r="Q400" cm="1">
        <f t="array" aca="1" ref="Q400:X400" ca="1">_xlfn.BYCOL(_xlfn.ANCHORARRAY(Q391),_xleta.SUM)</f>
        <v>0.96806720786825329</v>
      </c>
      <c r="R400">
        <f ca="1"/>
        <v>0.96934338433253531</v>
      </c>
      <c r="S400">
        <f ca="1"/>
        <v>0.9841650782386735</v>
      </c>
      <c r="T400">
        <f ca="1"/>
        <v>0.99432785253903455</v>
      </c>
      <c r="U400">
        <f ca="1"/>
        <v>1.0974387372292476</v>
      </c>
      <c r="V400">
        <f ca="1"/>
        <v>1.0429064155027596</v>
      </c>
      <c r="W400">
        <f ca="1"/>
        <v>0.97352117210054945</v>
      </c>
      <c r="X400">
        <f ca="1"/>
        <v>0.97023015218894659</v>
      </c>
    </row>
    <row r="402" spans="3:24" ht="24" customHeight="1">
      <c r="D402" s="32" t="s">
        <v>11</v>
      </c>
      <c r="E402" s="25">
        <v>1</v>
      </c>
      <c r="F402" s="25">
        <v>2</v>
      </c>
      <c r="G402" s="25">
        <v>3</v>
      </c>
      <c r="H402" s="25">
        <v>4</v>
      </c>
      <c r="I402" s="25">
        <v>5</v>
      </c>
      <c r="J402" s="25">
        <v>6</v>
      </c>
      <c r="K402" s="25">
        <v>7</v>
      </c>
      <c r="L402" s="25">
        <v>8</v>
      </c>
    </row>
    <row r="403" spans="3:24" ht="24" customHeight="1">
      <c r="C403" s="32" t="s">
        <v>5</v>
      </c>
      <c r="Q403" s="33" t="s">
        <v>6</v>
      </c>
      <c r="R403" s="33" t="s">
        <v>6</v>
      </c>
      <c r="S403" s="33" t="s">
        <v>6</v>
      </c>
      <c r="T403" s="33" t="s">
        <v>6</v>
      </c>
      <c r="U403" s="33" t="s">
        <v>6</v>
      </c>
      <c r="V403" s="33" t="s">
        <v>6</v>
      </c>
      <c r="W403" s="33" t="s">
        <v>6</v>
      </c>
      <c r="X403" s="33" t="s">
        <v>6</v>
      </c>
    </row>
    <row r="404" spans="3:24" ht="24" customHeight="1">
      <c r="C404" s="25" cm="1">
        <f t="array" ref="C404:C427">_xlfn.SEQUENCE(24,1,1)</f>
        <v>1</v>
      </c>
      <c r="E404" s="29">
        <v>3</v>
      </c>
      <c r="F404" s="29">
        <v>3</v>
      </c>
      <c r="G404" s="29">
        <v>-1</v>
      </c>
      <c r="H404" s="29">
        <v>1</v>
      </c>
      <c r="I404" s="29">
        <v>3</v>
      </c>
      <c r="J404" s="29">
        <v>3</v>
      </c>
      <c r="K404" s="29">
        <v>3</v>
      </c>
      <c r="L404" s="29">
        <v>0</v>
      </c>
      <c r="N404" s="27" t="s">
        <v>16</v>
      </c>
      <c r="Q404" s="19" cm="1">
        <f t="array" aca="1" ref="Q404:X427" ca="1">MMULT(E404:L427,_xlfn.ANCHORARRAY(Q391))</f>
        <v>0.96780500484865728</v>
      </c>
      <c r="R404" s="19">
        <f ca="1"/>
        <v>1.5070952043811559</v>
      </c>
      <c r="S404" s="19">
        <f ca="1"/>
        <v>1.7378626385587106</v>
      </c>
      <c r="T404" s="19">
        <f ca="1"/>
        <v>2.474658496439305</v>
      </c>
      <c r="U404" s="19">
        <f ca="1"/>
        <v>2.8524682813109994</v>
      </c>
      <c r="V404" s="19">
        <f ca="1"/>
        <v>2.2729882541342072</v>
      </c>
      <c r="W404" s="19">
        <f ca="1"/>
        <v>1.8809467181604616</v>
      </c>
      <c r="X404" s="19">
        <f ca="1"/>
        <v>1.3061754021665029</v>
      </c>
    </row>
    <row r="405" spans="3:24" ht="24" customHeight="1">
      <c r="C405" s="25">
        <v>2</v>
      </c>
      <c r="E405" s="30">
        <v>0</v>
      </c>
      <c r="F405" s="30">
        <v>3</v>
      </c>
      <c r="G405" s="30">
        <v>1</v>
      </c>
      <c r="H405" s="30">
        <v>1</v>
      </c>
      <c r="I405" s="30">
        <v>1</v>
      </c>
      <c r="J405" s="30">
        <v>3</v>
      </c>
      <c r="K405" s="30">
        <v>1</v>
      </c>
      <c r="L405" s="30">
        <v>1</v>
      </c>
      <c r="N405" s="27" t="s">
        <v>16</v>
      </c>
      <c r="Q405" s="20">
        <f ca="1"/>
        <v>1.2668812869867139</v>
      </c>
      <c r="R405" s="20">
        <f ca="1"/>
        <v>1.3952570778070488</v>
      </c>
      <c r="S405" s="20">
        <f ca="1"/>
        <v>1.4328668187711171</v>
      </c>
      <c r="T405" s="20">
        <f ca="1"/>
        <v>1.0437681876323057</v>
      </c>
      <c r="U405" s="20">
        <f ca="1"/>
        <v>1.5435010386246328</v>
      </c>
      <c r="V405" s="20">
        <f ca="1"/>
        <v>2.2973802368500871</v>
      </c>
      <c r="W405" s="20">
        <f ca="1"/>
        <v>1.2539904167961158</v>
      </c>
      <c r="X405" s="20">
        <f ca="1"/>
        <v>0.76635493653197839</v>
      </c>
    </row>
    <row r="406" spans="3:24" ht="24" customHeight="1">
      <c r="C406" s="25">
        <v>3</v>
      </c>
      <c r="E406" s="30">
        <v>2</v>
      </c>
      <c r="F406" s="30">
        <v>2</v>
      </c>
      <c r="G406" s="30">
        <v>1</v>
      </c>
      <c r="H406" s="30">
        <v>-1</v>
      </c>
      <c r="I406" s="30">
        <v>0</v>
      </c>
      <c r="J406" s="30">
        <v>3</v>
      </c>
      <c r="K406" s="30">
        <v>-1</v>
      </c>
      <c r="L406" s="30">
        <v>0</v>
      </c>
      <c r="N406" s="27" t="s">
        <v>16</v>
      </c>
      <c r="Q406" s="20">
        <f ca="1"/>
        <v>0.61187407325997167</v>
      </c>
      <c r="R406" s="20">
        <f ca="1"/>
        <v>0.1128864726545091</v>
      </c>
      <c r="S406" s="20">
        <f ca="1"/>
        <v>0.20725331711736525</v>
      </c>
      <c r="T406" s="20">
        <f ca="1"/>
        <v>0.21777150635278181</v>
      </c>
      <c r="U406" s="20">
        <f ca="1"/>
        <v>0.69517242419514558</v>
      </c>
      <c r="V406" s="20">
        <f ca="1"/>
        <v>2.2297488199272699</v>
      </c>
      <c r="W406" s="20">
        <f ca="1"/>
        <v>1.2479720543883224</v>
      </c>
      <c r="X406" s="20">
        <f ca="1"/>
        <v>0.67732133210463452</v>
      </c>
    </row>
    <row r="407" spans="3:24" ht="24" customHeight="1">
      <c r="C407" s="25">
        <v>4</v>
      </c>
      <c r="E407" s="30">
        <v>1</v>
      </c>
      <c r="F407" s="30">
        <v>-1</v>
      </c>
      <c r="G407" s="30">
        <v>3</v>
      </c>
      <c r="H407" s="30">
        <v>-1</v>
      </c>
      <c r="I407" s="30">
        <v>3</v>
      </c>
      <c r="J407" s="30">
        <v>0</v>
      </c>
      <c r="K407" s="30">
        <v>-1</v>
      </c>
      <c r="L407" s="30">
        <v>2</v>
      </c>
      <c r="N407" s="27" t="s">
        <v>16</v>
      </c>
      <c r="Q407" s="20">
        <f ca="1"/>
        <v>1.0874728592050582</v>
      </c>
      <c r="R407" s="20">
        <f ca="1"/>
        <v>-1.8029569133292428E-2</v>
      </c>
      <c r="S407" s="20">
        <f ca="1"/>
        <v>0.2246988570831272</v>
      </c>
      <c r="T407" s="20">
        <f ca="1"/>
        <v>0.33907427547121327</v>
      </c>
      <c r="U407" s="20">
        <f ca="1"/>
        <v>1.9362171524178908</v>
      </c>
      <c r="V407" s="20">
        <f ca="1"/>
        <v>0.48628734459579859</v>
      </c>
      <c r="W407" s="20">
        <f ca="1"/>
        <v>0.80723314426797987</v>
      </c>
      <c r="X407" s="20">
        <f ca="1"/>
        <v>1.1370459360922245</v>
      </c>
    </row>
    <row r="408" spans="3:24" ht="24" customHeight="1">
      <c r="C408" s="25">
        <v>5</v>
      </c>
      <c r="E408" s="30">
        <v>2</v>
      </c>
      <c r="F408" s="30">
        <v>1</v>
      </c>
      <c r="G408" s="30">
        <v>2</v>
      </c>
      <c r="H408" s="30">
        <v>3</v>
      </c>
      <c r="I408" s="30">
        <v>1</v>
      </c>
      <c r="J408" s="30">
        <v>2</v>
      </c>
      <c r="K408" s="30">
        <v>3</v>
      </c>
      <c r="L408" s="30">
        <v>1</v>
      </c>
      <c r="N408" s="27" t="s">
        <v>16</v>
      </c>
      <c r="Q408" s="20">
        <f ca="1"/>
        <v>1.7302710253357372</v>
      </c>
      <c r="R408" s="20">
        <f ca="1"/>
        <v>2.1452132581421517</v>
      </c>
      <c r="S408" s="20">
        <f ca="1"/>
        <v>1.7634244730469928</v>
      </c>
      <c r="T408" s="20">
        <f ca="1"/>
        <v>2.1679508098554168</v>
      </c>
      <c r="U408" s="20">
        <f ca="1"/>
        <v>1.5696400731970443</v>
      </c>
      <c r="V408" s="20">
        <f ca="1"/>
        <v>2.05341787190453</v>
      </c>
      <c r="W408" s="20">
        <f ca="1"/>
        <v>1.6376392025982378</v>
      </c>
      <c r="X408" s="20">
        <f ca="1"/>
        <v>1.932443285919889</v>
      </c>
    </row>
    <row r="409" spans="3:24" ht="24" customHeight="1">
      <c r="C409" s="25">
        <v>6</v>
      </c>
      <c r="E409" s="30">
        <v>2</v>
      </c>
      <c r="F409" s="30">
        <v>2</v>
      </c>
      <c r="G409" s="30">
        <v>1</v>
      </c>
      <c r="H409" s="30">
        <v>3</v>
      </c>
      <c r="I409" s="30">
        <v>3</v>
      </c>
      <c r="J409" s="30">
        <v>0</v>
      </c>
      <c r="K409" s="30">
        <v>0</v>
      </c>
      <c r="L409" s="30">
        <v>-1</v>
      </c>
      <c r="N409" s="27" t="s">
        <v>16</v>
      </c>
      <c r="Q409" s="20">
        <f ca="1"/>
        <v>0.72218480509258187</v>
      </c>
      <c r="R409" s="20">
        <f ca="1"/>
        <v>1.5837528587996768</v>
      </c>
      <c r="S409" s="20">
        <f ca="1"/>
        <v>0.89663322929866518</v>
      </c>
      <c r="T409" s="20">
        <f ca="1"/>
        <v>0.966481936889383</v>
      </c>
      <c r="U409" s="20">
        <f ca="1"/>
        <v>1.7368260138623399</v>
      </c>
      <c r="V409" s="20">
        <f ca="1"/>
        <v>0.8046049203570631</v>
      </c>
      <c r="W409" s="20">
        <f ca="1"/>
        <v>1.7245966374277455</v>
      </c>
      <c r="X409" s="20">
        <f ca="1"/>
        <v>1.5649195982725446</v>
      </c>
    </row>
    <row r="410" spans="3:24" ht="24" customHeight="1">
      <c r="C410" s="25">
        <v>7</v>
      </c>
      <c r="E410" s="30">
        <v>1</v>
      </c>
      <c r="F410" s="30">
        <v>3</v>
      </c>
      <c r="G410" s="30">
        <v>2</v>
      </c>
      <c r="H410" s="30">
        <v>1</v>
      </c>
      <c r="I410" s="30">
        <v>3</v>
      </c>
      <c r="J410" s="30">
        <v>-1</v>
      </c>
      <c r="K410" s="30">
        <v>3</v>
      </c>
      <c r="L410" s="30">
        <v>-1</v>
      </c>
      <c r="N410" s="27" t="s">
        <v>16</v>
      </c>
      <c r="Q410" s="20">
        <f ca="1"/>
        <v>1.4414060669635398</v>
      </c>
      <c r="R410" s="20">
        <f ca="1"/>
        <v>1.5382842367652265</v>
      </c>
      <c r="S410" s="20">
        <f ca="1"/>
        <v>1.2979357338865776</v>
      </c>
      <c r="T410" s="20">
        <f ca="1"/>
        <v>1.958611280818106</v>
      </c>
      <c r="U410" s="20">
        <f ca="1"/>
        <v>1.733660197379453</v>
      </c>
      <c r="V410" s="20">
        <f ca="1"/>
        <v>0.25382340427970912</v>
      </c>
      <c r="W410" s="20">
        <f ca="1"/>
        <v>1.7606885058193589</v>
      </c>
      <c r="X410" s="20">
        <f ca="1"/>
        <v>1.015590574088028</v>
      </c>
    </row>
    <row r="411" spans="3:24" ht="24" customHeight="1">
      <c r="C411" s="25">
        <v>8</v>
      </c>
      <c r="E411" s="30">
        <v>0</v>
      </c>
      <c r="F411" s="30">
        <v>1</v>
      </c>
      <c r="G411" s="30">
        <v>-1</v>
      </c>
      <c r="H411" s="30">
        <v>0</v>
      </c>
      <c r="I411" s="30">
        <v>1</v>
      </c>
      <c r="J411" s="30">
        <v>0</v>
      </c>
      <c r="K411" s="30">
        <v>-1</v>
      </c>
      <c r="L411" s="30">
        <v>3</v>
      </c>
      <c r="N411" s="27" t="s">
        <v>16</v>
      </c>
      <c r="Q411" s="20">
        <f ca="1"/>
        <v>0.3916290246984131</v>
      </c>
      <c r="R411" s="20">
        <f ca="1"/>
        <v>0.19968504019164188</v>
      </c>
      <c r="S411" s="20">
        <f ca="1"/>
        <v>0.94868442258125907</v>
      </c>
      <c r="T411" s="20">
        <f ca="1"/>
        <v>-7.8071028978976276E-3</v>
      </c>
      <c r="U411" s="20">
        <f ca="1"/>
        <v>0.90255418537805343</v>
      </c>
      <c r="V411" s="20">
        <f ca="1"/>
        <v>-5.344867450686349E-2</v>
      </c>
      <c r="W411" s="20">
        <f ca="1"/>
        <v>0.30362884963005932</v>
      </c>
      <c r="X411" s="20">
        <f ca="1"/>
        <v>0.31507425492533397</v>
      </c>
    </row>
    <row r="412" spans="3:24" ht="24" customHeight="1">
      <c r="C412" s="25">
        <v>9</v>
      </c>
      <c r="E412" s="30">
        <v>1</v>
      </c>
      <c r="F412" s="30">
        <v>2</v>
      </c>
      <c r="G412" s="30">
        <v>2</v>
      </c>
      <c r="H412" s="30">
        <v>1</v>
      </c>
      <c r="I412" s="30">
        <v>1</v>
      </c>
      <c r="J412" s="30">
        <v>2</v>
      </c>
      <c r="K412" s="30">
        <v>0</v>
      </c>
      <c r="L412" s="30">
        <v>3</v>
      </c>
      <c r="N412" s="27" t="s">
        <v>16</v>
      </c>
      <c r="Q412" s="20">
        <f ca="1"/>
        <v>1.7373071068589401</v>
      </c>
      <c r="R412" s="20">
        <f ca="1"/>
        <v>1.314260239086039</v>
      </c>
      <c r="S412" s="20">
        <f ca="1"/>
        <v>1.6122387601058503</v>
      </c>
      <c r="T412" s="20">
        <f ca="1"/>
        <v>0.90865769675409458</v>
      </c>
      <c r="U412" s="20">
        <f ca="1"/>
        <v>1.5236516479938933</v>
      </c>
      <c r="V412" s="20">
        <f ca="1"/>
        <v>1.9005518011475933</v>
      </c>
      <c r="W412" s="20">
        <f ca="1"/>
        <v>1.5280350076758953</v>
      </c>
      <c r="X412" s="20">
        <f ca="1"/>
        <v>1.4752977403776946</v>
      </c>
    </row>
    <row r="413" spans="3:24" ht="24" customHeight="1">
      <c r="C413" s="25">
        <v>10</v>
      </c>
      <c r="E413" s="30">
        <v>3</v>
      </c>
      <c r="F413" s="30">
        <v>-1</v>
      </c>
      <c r="G413" s="30">
        <v>0</v>
      </c>
      <c r="H413" s="30">
        <v>0</v>
      </c>
      <c r="I413" s="30">
        <v>3</v>
      </c>
      <c r="J413" s="30">
        <v>0</v>
      </c>
      <c r="K413" s="30">
        <v>0</v>
      </c>
      <c r="L413" s="30">
        <v>1</v>
      </c>
      <c r="N413" s="27" t="s">
        <v>16</v>
      </c>
      <c r="Q413" s="20">
        <f ca="1"/>
        <v>0.29596371144151157</v>
      </c>
      <c r="R413" s="20">
        <f ca="1"/>
        <v>8.4298282059369234E-2</v>
      </c>
      <c r="S413" s="20">
        <f ca="1"/>
        <v>0.35013620724261629</v>
      </c>
      <c r="T413" s="20">
        <f ca="1"/>
        <v>0.9374655344240016</v>
      </c>
      <c r="U413" s="20">
        <f ca="1"/>
        <v>1.9696474868352256</v>
      </c>
      <c r="V413" s="20">
        <f ca="1"/>
        <v>0.2400518105372409</v>
      </c>
      <c r="W413" s="20">
        <f ca="1"/>
        <v>0.87374796090940188</v>
      </c>
      <c r="X413" s="20">
        <f ca="1"/>
        <v>1.2486890065506331</v>
      </c>
    </row>
    <row r="414" spans="3:24" ht="24" customHeight="1">
      <c r="C414" s="25">
        <v>11</v>
      </c>
      <c r="E414" s="30">
        <v>0</v>
      </c>
      <c r="F414" s="30">
        <v>0</v>
      </c>
      <c r="G414" s="30">
        <v>0</v>
      </c>
      <c r="H414" s="30">
        <v>3</v>
      </c>
      <c r="I414" s="30">
        <v>2</v>
      </c>
      <c r="J414" s="30">
        <v>2</v>
      </c>
      <c r="K414" s="30">
        <v>1</v>
      </c>
      <c r="L414" s="30">
        <v>2</v>
      </c>
      <c r="N414" s="27" t="s">
        <v>16</v>
      </c>
      <c r="Q414" s="20">
        <f ca="1"/>
        <v>0.79250238534310313</v>
      </c>
      <c r="R414" s="20">
        <f ca="1"/>
        <v>1.571215377545063</v>
      </c>
      <c r="S414" s="20">
        <f ca="1"/>
        <v>1.447616624602122</v>
      </c>
      <c r="T414" s="20">
        <f ca="1"/>
        <v>1.0749706142811712</v>
      </c>
      <c r="U414" s="20">
        <f ca="1"/>
        <v>2.0036967995281469</v>
      </c>
      <c r="V414" s="20">
        <f ca="1"/>
        <v>1.4235503671284135</v>
      </c>
      <c r="W414" s="20">
        <f ca="1"/>
        <v>0.52550027069357275</v>
      </c>
      <c r="X414" s="20">
        <f ca="1"/>
        <v>1.160947560878407</v>
      </c>
    </row>
    <row r="415" spans="3:24" ht="24" customHeight="1">
      <c r="C415" s="25">
        <v>12</v>
      </c>
      <c r="E415" s="30">
        <v>3</v>
      </c>
      <c r="F415" s="30">
        <v>-1</v>
      </c>
      <c r="G415" s="30">
        <v>0</v>
      </c>
      <c r="H415" s="30">
        <v>1</v>
      </c>
      <c r="I415" s="30">
        <v>-1</v>
      </c>
      <c r="J415" s="30">
        <v>0</v>
      </c>
      <c r="K415" s="30">
        <v>0</v>
      </c>
      <c r="L415" s="30">
        <v>1</v>
      </c>
      <c r="N415" s="27" t="s">
        <v>16</v>
      </c>
      <c r="Q415" s="20">
        <f ca="1"/>
        <v>0.27455442776531425</v>
      </c>
      <c r="R415" s="20">
        <f ca="1"/>
        <v>0.24855800435158967</v>
      </c>
      <c r="S415" s="20">
        <f ca="1"/>
        <v>0.27303816752162574</v>
      </c>
      <c r="T415" s="20">
        <f ca="1"/>
        <v>0.46775072605781165</v>
      </c>
      <c r="U415" s="20">
        <f ca="1"/>
        <v>-0.32775426166959082</v>
      </c>
      <c r="V415" s="20">
        <f ca="1"/>
        <v>0.27432371759873947</v>
      </c>
      <c r="W415" s="20">
        <f ca="1"/>
        <v>0.64096117358451032</v>
      </c>
      <c r="X415" s="20">
        <f ca="1"/>
        <v>1.1485680447900002</v>
      </c>
    </row>
    <row r="416" spans="3:24" ht="24" customHeight="1">
      <c r="C416" s="25">
        <v>13</v>
      </c>
      <c r="E416" s="30">
        <v>0</v>
      </c>
      <c r="F416" s="30">
        <v>0</v>
      </c>
      <c r="G416" s="30">
        <v>3</v>
      </c>
      <c r="H416" s="30">
        <v>0</v>
      </c>
      <c r="I416" s="30">
        <v>2</v>
      </c>
      <c r="J416" s="30">
        <v>-1</v>
      </c>
      <c r="K416" s="30">
        <v>3</v>
      </c>
      <c r="L416" s="30">
        <v>2</v>
      </c>
      <c r="N416" s="27" t="s">
        <v>16</v>
      </c>
      <c r="Q416" s="20">
        <f ca="1"/>
        <v>1.7779760225155714</v>
      </c>
      <c r="R416" s="20">
        <f ca="1"/>
        <v>0.9873855931466704</v>
      </c>
      <c r="S416" s="20">
        <f ca="1"/>
        <v>1.2601258665900161</v>
      </c>
      <c r="T416" s="20">
        <f ca="1"/>
        <v>1.7091379135937355</v>
      </c>
      <c r="U416" s="20">
        <f ca="1"/>
        <v>1.4744210409734153</v>
      </c>
      <c r="V416" s="20">
        <f ca="1"/>
        <v>-2.0928639315942302E-2</v>
      </c>
      <c r="W416" s="20">
        <f ca="1"/>
        <v>0.83004681940518399</v>
      </c>
      <c r="X416" s="20">
        <f ca="1"/>
        <v>0.9818353830913491</v>
      </c>
    </row>
    <row r="417" spans="1:24" ht="24" customHeight="1">
      <c r="C417" s="25">
        <v>14</v>
      </c>
      <c r="E417" s="30">
        <v>2</v>
      </c>
      <c r="F417" s="30">
        <v>2</v>
      </c>
      <c r="G417" s="30">
        <v>3</v>
      </c>
      <c r="H417" s="30">
        <v>2</v>
      </c>
      <c r="I417" s="30">
        <v>1</v>
      </c>
      <c r="J417" s="30">
        <v>1</v>
      </c>
      <c r="K417" s="30">
        <v>-1</v>
      </c>
      <c r="L417" s="30">
        <v>1</v>
      </c>
      <c r="N417" s="27" t="s">
        <v>16</v>
      </c>
      <c r="Q417" s="20">
        <f ca="1"/>
        <v>1.5450319401807651</v>
      </c>
      <c r="R417" s="20">
        <f ca="1"/>
        <v>1.4254236335794099</v>
      </c>
      <c r="S417" s="20">
        <f ca="1"/>
        <v>1.0203433004145512</v>
      </c>
      <c r="T417" s="20">
        <f ca="1"/>
        <v>0.55369936080205351</v>
      </c>
      <c r="U417" s="20">
        <f ca="1"/>
        <v>0.98807437207474624</v>
      </c>
      <c r="V417" s="20">
        <f ca="1"/>
        <v>1.6466466086952734</v>
      </c>
      <c r="W417" s="20">
        <f ca="1"/>
        <v>1.9554284985228596</v>
      </c>
      <c r="X417" s="20">
        <f ca="1"/>
        <v>1.8653522857303411</v>
      </c>
    </row>
    <row r="418" spans="1:24" ht="24" customHeight="1">
      <c r="C418" s="25">
        <v>15</v>
      </c>
      <c r="E418" s="30">
        <v>-1</v>
      </c>
      <c r="F418" s="30">
        <v>3</v>
      </c>
      <c r="G418" s="30">
        <v>1</v>
      </c>
      <c r="H418" s="30">
        <v>0</v>
      </c>
      <c r="I418" s="30">
        <v>1</v>
      </c>
      <c r="J418" s="30">
        <v>1</v>
      </c>
      <c r="K418" s="30">
        <v>2</v>
      </c>
      <c r="L418" s="30">
        <v>1</v>
      </c>
      <c r="N418" s="27" t="s">
        <v>16</v>
      </c>
      <c r="Q418" s="20">
        <f ca="1"/>
        <v>1.2650279653711485</v>
      </c>
      <c r="R418" s="20">
        <f ca="1"/>
        <v>1.0783961245210756</v>
      </c>
      <c r="S418" s="20">
        <f ca="1"/>
        <v>1.3765761063940676</v>
      </c>
      <c r="T418" s="20">
        <f ca="1"/>
        <v>1.1212501909831645</v>
      </c>
      <c r="U418" s="20">
        <f ca="1"/>
        <v>1.1256049461392876</v>
      </c>
      <c r="V418" s="20">
        <f ca="1"/>
        <v>0.96284542453544864</v>
      </c>
      <c r="W418" s="20">
        <f ca="1"/>
        <v>0.8769177851494927</v>
      </c>
      <c r="X418" s="20">
        <f ca="1"/>
        <v>0.19338145690631398</v>
      </c>
    </row>
    <row r="419" spans="1:24" ht="24" customHeight="1">
      <c r="C419" s="25">
        <v>16</v>
      </c>
      <c r="E419" s="30">
        <v>1</v>
      </c>
      <c r="F419" s="30">
        <v>0</v>
      </c>
      <c r="G419" s="30">
        <v>3</v>
      </c>
      <c r="H419" s="30">
        <v>3</v>
      </c>
      <c r="I419" s="30">
        <v>2</v>
      </c>
      <c r="J419" s="30">
        <v>-1</v>
      </c>
      <c r="K419" s="30">
        <v>3</v>
      </c>
      <c r="L419" s="30">
        <v>3</v>
      </c>
      <c r="N419" s="27" t="s">
        <v>16</v>
      </c>
      <c r="Q419" s="20">
        <f ca="1"/>
        <v>2.1996780999448164</v>
      </c>
      <c r="R419" s="20">
        <f ca="1"/>
        <v>2.1400269027107748</v>
      </c>
      <c r="S419" s="20">
        <f ca="1"/>
        <v>2.0859707656806714</v>
      </c>
      <c r="T419" s="20">
        <f ca="1"/>
        <v>2.11182841475605</v>
      </c>
      <c r="U419" s="20">
        <f ca="1"/>
        <v>1.6805198437508393</v>
      </c>
      <c r="V419" s="20">
        <f ca="1"/>
        <v>0.30636647369691433</v>
      </c>
      <c r="W419" s="20">
        <f ca="1"/>
        <v>1.4032939755966487</v>
      </c>
      <c r="X419" s="20">
        <f ca="1"/>
        <v>2.0723155238632849</v>
      </c>
    </row>
    <row r="420" spans="1:24" ht="24" customHeight="1">
      <c r="C420" s="25">
        <v>17</v>
      </c>
      <c r="E420" s="30">
        <v>3</v>
      </c>
      <c r="F420" s="30">
        <v>3</v>
      </c>
      <c r="G420" s="30">
        <v>0</v>
      </c>
      <c r="H420" s="30">
        <v>1</v>
      </c>
      <c r="I420" s="30">
        <v>2</v>
      </c>
      <c r="J420" s="30">
        <v>3</v>
      </c>
      <c r="K420" s="30">
        <v>-1</v>
      </c>
      <c r="L420" s="30">
        <v>2</v>
      </c>
      <c r="N420" s="27" t="s">
        <v>16</v>
      </c>
      <c r="Q420" s="20">
        <f ca="1"/>
        <v>1.1042746423098442</v>
      </c>
      <c r="R420" s="20">
        <f ca="1"/>
        <v>1.1428243339129596</v>
      </c>
      <c r="S420" s="20">
        <f ca="1"/>
        <v>1.488797520832601</v>
      </c>
      <c r="T420" s="20">
        <f ca="1"/>
        <v>0.93370278898024517</v>
      </c>
      <c r="U420" s="20">
        <f ca="1"/>
        <v>2.1898924133107944</v>
      </c>
      <c r="V420" s="20">
        <f ca="1"/>
        <v>2.4312324045703009</v>
      </c>
      <c r="W420" s="20">
        <f ca="1"/>
        <v>2.0371396155274653</v>
      </c>
      <c r="X420" s="20">
        <f ca="1"/>
        <v>1.6721362805557904</v>
      </c>
    </row>
    <row r="421" spans="1:24" ht="24" customHeight="1">
      <c r="C421" s="25">
        <v>18</v>
      </c>
      <c r="E421" s="30">
        <v>0</v>
      </c>
      <c r="F421" s="30">
        <v>2</v>
      </c>
      <c r="G421" s="30">
        <v>1</v>
      </c>
      <c r="H421" s="30">
        <v>2</v>
      </c>
      <c r="I421" s="30">
        <v>-1</v>
      </c>
      <c r="J421" s="30">
        <v>0</v>
      </c>
      <c r="K421" s="30">
        <v>2</v>
      </c>
      <c r="L421" s="30">
        <v>0</v>
      </c>
      <c r="N421" s="27" t="s">
        <v>16</v>
      </c>
      <c r="Q421" s="20">
        <f ca="1"/>
        <v>0.98872700064190089</v>
      </c>
      <c r="R421" s="20">
        <f ca="1"/>
        <v>1.4008970277348671</v>
      </c>
      <c r="S421" s="20">
        <f ca="1"/>
        <v>1.0933392407004496</v>
      </c>
      <c r="T421" s="20">
        <f ca="1"/>
        <v>0.93951835352917556</v>
      </c>
      <c r="U421" s="20">
        <f ca="1"/>
        <v>-0.34558678115793462</v>
      </c>
      <c r="V421" s="20">
        <f ca="1"/>
        <v>0.50695158308682209</v>
      </c>
      <c r="W421" s="20">
        <f ca="1"/>
        <v>0.83263817705796161</v>
      </c>
      <c r="X421" s="20">
        <f ca="1"/>
        <v>0.58351539840675715</v>
      </c>
    </row>
    <row r="422" spans="1:24" ht="24" customHeight="1">
      <c r="C422" s="25">
        <v>19</v>
      </c>
      <c r="E422" s="30">
        <v>-1</v>
      </c>
      <c r="F422" s="30">
        <v>-1</v>
      </c>
      <c r="G422" s="30">
        <v>0</v>
      </c>
      <c r="H422" s="30">
        <v>1</v>
      </c>
      <c r="I422" s="30">
        <v>3</v>
      </c>
      <c r="J422" s="30">
        <v>-1</v>
      </c>
      <c r="K422" s="30">
        <v>3</v>
      </c>
      <c r="L422" s="30">
        <v>-1</v>
      </c>
      <c r="N422" s="27" t="s">
        <v>16</v>
      </c>
      <c r="Q422" s="20">
        <f ca="1"/>
        <v>7.0737876928396504E-2</v>
      </c>
      <c r="R422" s="20">
        <f ca="1"/>
        <v>0.63264937478157257</v>
      </c>
      <c r="S422" s="20">
        <f ca="1"/>
        <v>0.36977560823724848</v>
      </c>
      <c r="T422" s="20">
        <f ca="1"/>
        <v>1.2784220657127836</v>
      </c>
      <c r="U422" s="20">
        <f ca="1"/>
        <v>1.5942961978663845</v>
      </c>
      <c r="V422" s="20">
        <f ca="1"/>
        <v>-0.66659694016991877</v>
      </c>
      <c r="W422" s="20">
        <f ca="1"/>
        <v>-0.27293863390002615</v>
      </c>
      <c r="X422" s="20">
        <f ca="1"/>
        <v>-6.3455494564413073E-3</v>
      </c>
    </row>
    <row r="423" spans="1:24" ht="24" customHeight="1">
      <c r="C423" s="25">
        <v>20</v>
      </c>
      <c r="E423" s="30">
        <v>3</v>
      </c>
      <c r="F423" s="30">
        <v>1</v>
      </c>
      <c r="G423" s="30">
        <v>2</v>
      </c>
      <c r="H423" s="30">
        <v>2</v>
      </c>
      <c r="I423" s="30">
        <v>1</v>
      </c>
      <c r="J423" s="30">
        <v>-1</v>
      </c>
      <c r="K423" s="30">
        <v>2</v>
      </c>
      <c r="L423" s="30">
        <v>0</v>
      </c>
      <c r="N423" s="27" t="s">
        <v>16</v>
      </c>
      <c r="Q423" s="20">
        <f ca="1"/>
        <v>1.3283372605753472</v>
      </c>
      <c r="R423" s="20">
        <f ca="1"/>
        <v>1.4163703586414975</v>
      </c>
      <c r="S423" s="20">
        <f ca="1"/>
        <v>1.0714393218951253</v>
      </c>
      <c r="T423" s="20">
        <f ca="1"/>
        <v>1.6551133866342784</v>
      </c>
      <c r="U423" s="20">
        <f ca="1"/>
        <v>0.6864618245314178</v>
      </c>
      <c r="V423" s="20">
        <f ca="1"/>
        <v>0.32038676276472705</v>
      </c>
      <c r="W423" s="20">
        <f ca="1"/>
        <v>1.7510956918133487</v>
      </c>
      <c r="X423" s="20">
        <f ca="1"/>
        <v>1.7707953931442579</v>
      </c>
    </row>
    <row r="424" spans="1:24" ht="24" customHeight="1">
      <c r="C424" s="25">
        <v>21</v>
      </c>
      <c r="E424" s="30">
        <v>0</v>
      </c>
      <c r="F424" s="30">
        <v>0</v>
      </c>
      <c r="G424" s="30">
        <v>2</v>
      </c>
      <c r="H424" s="30">
        <v>-1</v>
      </c>
      <c r="I424" s="30">
        <v>0</v>
      </c>
      <c r="J424" s="30">
        <v>2</v>
      </c>
      <c r="K424" s="30">
        <v>3</v>
      </c>
      <c r="L424" s="30">
        <v>0</v>
      </c>
      <c r="N424" s="27" t="s">
        <v>16</v>
      </c>
      <c r="Q424" s="20">
        <f ca="1"/>
        <v>1.0190014782790928</v>
      </c>
      <c r="R424" s="20">
        <f ca="1"/>
        <v>0.41627377461495196</v>
      </c>
      <c r="S424" s="20">
        <f ca="1"/>
        <v>0.46127660968077944</v>
      </c>
      <c r="T424" s="20">
        <f ca="1"/>
        <v>1.3502713112500768</v>
      </c>
      <c r="U424" s="20">
        <f ca="1"/>
        <v>0.72315718196818302</v>
      </c>
      <c r="V424" s="20">
        <f ca="1"/>
        <v>1.4486911704859828</v>
      </c>
      <c r="W424" s="20">
        <f ca="1"/>
        <v>0.34730668383237318</v>
      </c>
      <c r="X424" s="20">
        <f ca="1"/>
        <v>0.23402178988855979</v>
      </c>
    </row>
    <row r="425" spans="1:24" ht="24" customHeight="1">
      <c r="C425" s="25">
        <v>22</v>
      </c>
      <c r="E425" s="30">
        <v>2</v>
      </c>
      <c r="F425" s="30">
        <v>-1</v>
      </c>
      <c r="G425" s="30">
        <v>0</v>
      </c>
      <c r="H425" s="30">
        <v>0</v>
      </c>
      <c r="I425" s="30">
        <v>1</v>
      </c>
      <c r="J425" s="30">
        <v>1</v>
      </c>
      <c r="K425" s="30">
        <v>3</v>
      </c>
      <c r="L425" s="30">
        <v>2</v>
      </c>
      <c r="N425" s="27" t="s">
        <v>16</v>
      </c>
      <c r="Q425" s="20">
        <f ca="1"/>
        <v>0.86991903128143289</v>
      </c>
      <c r="R425" s="20">
        <f ca="1"/>
        <v>0.55829904818153575</v>
      </c>
      <c r="S425" s="20">
        <f ca="1"/>
        <v>1.0856386201583841</v>
      </c>
      <c r="T425" s="20">
        <f ca="1"/>
        <v>1.8492888577691573</v>
      </c>
      <c r="U425" s="20">
        <f ca="1"/>
        <v>1.4096947308962617</v>
      </c>
      <c r="V425" s="20">
        <f ca="1"/>
        <v>0.72237825130027</v>
      </c>
      <c r="W425" s="20">
        <f ca="1"/>
        <v>0.5274265104115643</v>
      </c>
      <c r="X425" s="20">
        <f ca="1"/>
        <v>0.97735495000139361</v>
      </c>
    </row>
    <row r="426" spans="1:24" ht="24" customHeight="1">
      <c r="C426" s="25">
        <v>23</v>
      </c>
      <c r="E426" s="30">
        <v>0</v>
      </c>
      <c r="F426" s="30">
        <v>-1</v>
      </c>
      <c r="G426" s="30">
        <v>2</v>
      </c>
      <c r="H426" s="30">
        <v>2</v>
      </c>
      <c r="I426" s="30">
        <v>3</v>
      </c>
      <c r="J426" s="30">
        <v>1</v>
      </c>
      <c r="K426" s="30">
        <v>-1</v>
      </c>
      <c r="L426" s="30">
        <v>-1</v>
      </c>
      <c r="N426" s="27" t="s">
        <v>16</v>
      </c>
      <c r="Q426" s="20">
        <f ca="1"/>
        <v>0.23213958500467774</v>
      </c>
      <c r="R426" s="20">
        <f ca="1"/>
        <v>0.72857449966698373</v>
      </c>
      <c r="S426" s="20">
        <f ca="1"/>
        <v>-0.14457949786822852</v>
      </c>
      <c r="T426" s="20">
        <f ca="1"/>
        <v>7.0414908834532913E-2</v>
      </c>
      <c r="U426" s="20">
        <f ca="1"/>
        <v>1.749728212880775</v>
      </c>
      <c r="V426" s="20">
        <f ca="1"/>
        <v>0.9999589096264333</v>
      </c>
      <c r="W426" s="20">
        <f ca="1"/>
        <v>0.43470465229064381</v>
      </c>
      <c r="X426" s="20">
        <f ca="1"/>
        <v>0.92905872956418278</v>
      </c>
    </row>
    <row r="427" spans="1:24" ht="24" customHeight="1">
      <c r="C427" s="25">
        <v>24</v>
      </c>
      <c r="E427" s="31">
        <v>-1</v>
      </c>
      <c r="F427" s="31">
        <v>3</v>
      </c>
      <c r="G427" s="31">
        <v>1</v>
      </c>
      <c r="H427" s="31">
        <v>1</v>
      </c>
      <c r="I427" s="31">
        <v>1</v>
      </c>
      <c r="J427" s="31">
        <v>0</v>
      </c>
      <c r="K427" s="31">
        <v>0</v>
      </c>
      <c r="L427" s="31">
        <v>0</v>
      </c>
      <c r="N427" s="27" t="s">
        <v>16</v>
      </c>
      <c r="Q427" s="21">
        <f ca="1"/>
        <v>0.78562116785838398</v>
      </c>
      <c r="R427" s="21">
        <f ca="1"/>
        <v>1.0029283834055915</v>
      </c>
      <c r="S427" s="21">
        <f ca="1"/>
        <v>0.84813483295959613</v>
      </c>
      <c r="T427" s="21">
        <f ca="1"/>
        <v>0.22693205780340486</v>
      </c>
      <c r="U427" s="21">
        <f ca="1"/>
        <v>0.59286034651793074</v>
      </c>
      <c r="V427" s="21">
        <f ca="1"/>
        <v>0.43932714119665961</v>
      </c>
      <c r="W427" s="21">
        <f ca="1"/>
        <v>0.87046037764135853</v>
      </c>
      <c r="X427" s="21">
        <f ca="1"/>
        <v>0.23373569261707383</v>
      </c>
    </row>
    <row r="432" spans="1:24" s="48" customFormat="1" ht="36.950000000000003">
      <c r="A432" s="48" t="s">
        <v>27</v>
      </c>
    </row>
    <row r="439" spans="31:41" ht="24" customHeight="1">
      <c r="AF439" t="s">
        <v>28</v>
      </c>
      <c r="AG439">
        <v>1</v>
      </c>
      <c r="AH439">
        <v>2</v>
      </c>
      <c r="AI439">
        <v>3</v>
      </c>
      <c r="AJ439">
        <v>4</v>
      </c>
      <c r="AK439">
        <v>5</v>
      </c>
      <c r="AL439">
        <v>6</v>
      </c>
      <c r="AM439">
        <v>7</v>
      </c>
      <c r="AN439">
        <v>8</v>
      </c>
      <c r="AO439">
        <v>9</v>
      </c>
    </row>
    <row r="440" spans="31:41" ht="24" customHeight="1">
      <c r="AE440" t="s">
        <v>11</v>
      </c>
      <c r="AF440" t="s">
        <v>5</v>
      </c>
    </row>
    <row r="441" spans="31:41" ht="24" customHeight="1">
      <c r="AE441">
        <v>1</v>
      </c>
      <c r="AF441">
        <v>1</v>
      </c>
      <c r="AG441" s="1">
        <v>0.35052987045932937</v>
      </c>
      <c r="AH441" s="1">
        <v>6.0234892831559694E-2</v>
      </c>
      <c r="AI441" s="1">
        <v>1.9692134597478983E-2</v>
      </c>
      <c r="AJ441" s="1">
        <v>0.60879665205038558</v>
      </c>
      <c r="AK441" s="1">
        <v>0.21411730329859613</v>
      </c>
      <c r="AL441" s="1">
        <v>4.8854537529080755E-2</v>
      </c>
      <c r="AM441" s="1">
        <v>0.16650232215684424</v>
      </c>
      <c r="AN441" s="1">
        <v>7.6152087359501852E-2</v>
      </c>
      <c r="AO441" s="1">
        <v>0</v>
      </c>
    </row>
    <row r="442" spans="31:41" ht="24" customHeight="1">
      <c r="AF442">
        <v>2</v>
      </c>
      <c r="AG442" s="2">
        <v>5.0596239939544319E-2</v>
      </c>
      <c r="AH442" s="2">
        <v>0.52932632389678935</v>
      </c>
      <c r="AI442" s="2">
        <v>0.95079323724795417</v>
      </c>
      <c r="AJ442" s="2">
        <v>0.64389285742015212</v>
      </c>
      <c r="AK442" s="2">
        <v>0.55825801705832712</v>
      </c>
      <c r="AL442" s="2">
        <v>6.8078049231982352E-2</v>
      </c>
      <c r="AM442" s="2">
        <v>0.69352118242809735</v>
      </c>
      <c r="AN442" s="2">
        <v>0</v>
      </c>
      <c r="AO442" s="2">
        <v>8.7496294266891761E-2</v>
      </c>
    </row>
    <row r="443" spans="31:41" ht="24" customHeight="1">
      <c r="AF443">
        <v>3</v>
      </c>
      <c r="AG443" s="2">
        <v>0</v>
      </c>
      <c r="AH443" s="2">
        <v>0</v>
      </c>
      <c r="AI443" s="2">
        <v>0.72738888248021372</v>
      </c>
      <c r="AJ443" s="2">
        <v>0</v>
      </c>
      <c r="AK443" s="2">
        <v>0.14053309996919028</v>
      </c>
      <c r="AL443" s="2">
        <v>0.17635349603513917</v>
      </c>
      <c r="AM443" s="2">
        <v>0</v>
      </c>
      <c r="AN443" s="2">
        <v>0</v>
      </c>
      <c r="AO443" s="2">
        <v>0</v>
      </c>
    </row>
    <row r="444" spans="31:41" ht="24" customHeight="1">
      <c r="AF444">
        <v>4</v>
      </c>
      <c r="AG444" s="2">
        <v>0</v>
      </c>
      <c r="AH444" s="2">
        <v>0</v>
      </c>
      <c r="AI444" s="2">
        <v>8.8423894190314822E-3</v>
      </c>
      <c r="AJ444" s="2">
        <v>0</v>
      </c>
      <c r="AK444" s="2">
        <v>0</v>
      </c>
      <c r="AL444" s="2">
        <v>0.70303799718132054</v>
      </c>
      <c r="AM444" s="2">
        <v>0.23258994757341522</v>
      </c>
      <c r="AN444" s="2">
        <v>0</v>
      </c>
      <c r="AO444" s="2">
        <v>0</v>
      </c>
    </row>
    <row r="445" spans="31:41" ht="24" customHeight="1">
      <c r="AF445">
        <v>5</v>
      </c>
      <c r="AG445" s="3">
        <v>0</v>
      </c>
      <c r="AH445" s="3">
        <v>0</v>
      </c>
      <c r="AI445" s="3">
        <v>0</v>
      </c>
      <c r="AJ445" s="3">
        <v>0.48661376226032305</v>
      </c>
      <c r="AK445" s="3">
        <v>9.9957393730997657E-2</v>
      </c>
      <c r="AL445" s="3">
        <v>0</v>
      </c>
      <c r="AM445" s="3">
        <v>0</v>
      </c>
      <c r="AN445" s="3">
        <v>0.68309828429930342</v>
      </c>
      <c r="AO445" s="3">
        <v>0.69815168148241891</v>
      </c>
    </row>
    <row r="446" spans="31:41" ht="24" customHeight="1">
      <c r="AE446">
        <v>2</v>
      </c>
      <c r="AF446">
        <v>1</v>
      </c>
      <c r="AG446" s="1">
        <v>0.45298031946747197</v>
      </c>
      <c r="AH446" s="1">
        <v>0.54693228014074613</v>
      </c>
      <c r="AI446" s="1">
        <v>0</v>
      </c>
      <c r="AJ446" s="1">
        <v>0.7417594961622529</v>
      </c>
      <c r="AK446" s="1">
        <v>0</v>
      </c>
      <c r="AL446" s="1">
        <v>0.59353743764864708</v>
      </c>
      <c r="AM446" s="1">
        <v>0</v>
      </c>
      <c r="AN446" s="1">
        <v>0</v>
      </c>
      <c r="AO446" s="1">
        <v>0.99701811685424402</v>
      </c>
    </row>
    <row r="447" spans="31:41" ht="24" customHeight="1">
      <c r="AF447">
        <v>2</v>
      </c>
      <c r="AG447" s="2">
        <v>0</v>
      </c>
      <c r="AH447" s="2">
        <v>1.9438351303930235E-2</v>
      </c>
      <c r="AI447" s="2">
        <v>0</v>
      </c>
      <c r="AJ447" s="2">
        <v>0.72720947380445078</v>
      </c>
      <c r="AK447" s="2">
        <v>0</v>
      </c>
      <c r="AL447" s="2">
        <v>0</v>
      </c>
      <c r="AM447" s="2">
        <v>0</v>
      </c>
      <c r="AN447" s="2">
        <v>0</v>
      </c>
      <c r="AO447" s="2">
        <v>0.44371495684654394</v>
      </c>
    </row>
    <row r="448" spans="31:41" ht="24" customHeight="1">
      <c r="AF448">
        <v>3</v>
      </c>
      <c r="AG448" s="2">
        <v>0</v>
      </c>
      <c r="AH448" s="2">
        <v>0.28957892393581552</v>
      </c>
      <c r="AI448" s="2">
        <v>0</v>
      </c>
      <c r="AJ448" s="2">
        <v>7.4074461546983272E-2</v>
      </c>
      <c r="AK448" s="2">
        <v>0</v>
      </c>
      <c r="AL448" s="2">
        <v>0.74873230461529316</v>
      </c>
      <c r="AM448" s="2">
        <v>0</v>
      </c>
      <c r="AN448" s="2">
        <v>0</v>
      </c>
      <c r="AO448" s="2">
        <v>0.230332999212989</v>
      </c>
    </row>
    <row r="449" spans="22:76" ht="24" customHeight="1">
      <c r="AF449">
        <v>4</v>
      </c>
      <c r="AG449" s="2">
        <v>0.66555818761426222</v>
      </c>
      <c r="AH449" s="2">
        <v>0</v>
      </c>
      <c r="AI449" s="2">
        <v>0.72193450267930115</v>
      </c>
      <c r="AJ449" s="2">
        <v>0.3482382895698295</v>
      </c>
      <c r="AK449" s="2">
        <v>0.29631923296730589</v>
      </c>
      <c r="AL449" s="2">
        <v>0</v>
      </c>
      <c r="AM449" s="2">
        <v>0.2306705917082994</v>
      </c>
      <c r="AN449" s="2">
        <v>0</v>
      </c>
      <c r="AO449" s="2">
        <v>0.92319844667956019</v>
      </c>
    </row>
    <row r="450" spans="22:76" ht="24" customHeight="1">
      <c r="AF450">
        <v>5</v>
      </c>
      <c r="AG450" s="3">
        <v>0.3804714005975165</v>
      </c>
      <c r="AH450" s="3">
        <v>0</v>
      </c>
      <c r="AI450" s="3">
        <v>0</v>
      </c>
      <c r="AJ450" s="3">
        <v>0.33819888841109447</v>
      </c>
      <c r="AK450" s="3">
        <v>0</v>
      </c>
      <c r="AL450" s="3">
        <v>0.19930777499941521</v>
      </c>
      <c r="AM450" s="3">
        <v>0.10201519251885527</v>
      </c>
      <c r="AN450" s="3">
        <v>0</v>
      </c>
      <c r="AO450" s="3">
        <v>0.36708194055235577</v>
      </c>
    </row>
    <row r="451" spans="22:76" ht="24" customHeight="1">
      <c r="AE451">
        <v>3</v>
      </c>
      <c r="AF451">
        <v>1</v>
      </c>
      <c r="AG451" s="4">
        <v>0.42438326448296748</v>
      </c>
      <c r="AH451" s="4">
        <v>0</v>
      </c>
      <c r="AI451" s="4">
        <v>0</v>
      </c>
      <c r="AJ451" s="4">
        <v>0.4224512403845142</v>
      </c>
      <c r="AK451" s="4">
        <v>0</v>
      </c>
      <c r="AL451" s="4">
        <v>0.2331103524395135</v>
      </c>
      <c r="AM451" s="4">
        <v>0</v>
      </c>
      <c r="AN451" s="4">
        <v>0.58200925470847253</v>
      </c>
      <c r="AO451" s="4">
        <v>0.75880450459934434</v>
      </c>
    </row>
    <row r="452" spans="22:76" ht="24" customHeight="1">
      <c r="AF452">
        <v>2</v>
      </c>
      <c r="AG452" s="5">
        <v>0.91600212845270668</v>
      </c>
      <c r="AH452" s="5">
        <v>0.64685229868914229</v>
      </c>
      <c r="AI452" s="5">
        <v>0.30050476887593147</v>
      </c>
      <c r="AJ452" s="5">
        <v>0.62954500079728359</v>
      </c>
      <c r="AK452" s="5">
        <v>0.19047944534231087</v>
      </c>
      <c r="AL452" s="5">
        <v>0</v>
      </c>
      <c r="AM452" s="5">
        <v>0.96362875607676157</v>
      </c>
      <c r="AN452" s="5">
        <v>0</v>
      </c>
      <c r="AO452" s="5">
        <v>0.98942045304882309</v>
      </c>
    </row>
    <row r="453" spans="22:76" ht="24" customHeight="1">
      <c r="AF453">
        <v>3</v>
      </c>
      <c r="AG453" s="5">
        <v>0</v>
      </c>
      <c r="AH453" s="5">
        <v>0</v>
      </c>
      <c r="AI453" s="5">
        <v>0</v>
      </c>
      <c r="AJ453" s="5">
        <v>9.5950788360306127E-2</v>
      </c>
      <c r="AK453" s="5">
        <v>0</v>
      </c>
      <c r="AL453" s="5">
        <v>0</v>
      </c>
      <c r="AM453" s="5">
        <v>2.390615340420621E-2</v>
      </c>
      <c r="AN453" s="5">
        <v>0</v>
      </c>
      <c r="AO453" s="5">
        <v>0.815952905015916</v>
      </c>
    </row>
    <row r="454" spans="22:76" ht="24" customHeight="1">
      <c r="AF454">
        <v>4</v>
      </c>
      <c r="AG454" s="5">
        <v>0.64663122451953514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0.88157297698096904</v>
      </c>
      <c r="AN454" s="5">
        <v>0</v>
      </c>
      <c r="AO454" s="5">
        <v>8.8981814586390762E-3</v>
      </c>
    </row>
    <row r="455" spans="22:76" ht="24" customHeight="1">
      <c r="AF455">
        <v>5</v>
      </c>
      <c r="AG455" s="6">
        <v>0.71575455850445335</v>
      </c>
      <c r="AH455" s="6">
        <v>0.77663462800009087</v>
      </c>
      <c r="AI455" s="6">
        <v>0.45242548706548091</v>
      </c>
      <c r="AJ455" s="6">
        <v>0</v>
      </c>
      <c r="AK455" s="6">
        <v>1.0952159116945692E-2</v>
      </c>
      <c r="AL455" s="6">
        <v>6.4803492754624381E-2</v>
      </c>
      <c r="AM455" s="6">
        <v>0.68054098033651744</v>
      </c>
      <c r="AN455" s="6">
        <v>0</v>
      </c>
      <c r="AO455" s="6">
        <v>0.42606407952554259</v>
      </c>
    </row>
    <row r="461" spans="22:76" ht="24" customHeight="1">
      <c r="V461" s="1" cm="1">
        <f t="array" ref="V461:V475">BP461:BP475</f>
        <v>0.35052987045932937</v>
      </c>
      <c r="AG461" s="1" cm="1">
        <f t="array" ref="AG461:AO475">AG441:AO455</f>
        <v>0.35052987045932937</v>
      </c>
      <c r="AH461" s="1">
        <v>6.0234892831559694E-2</v>
      </c>
      <c r="AI461" s="1">
        <v>1.9692134597478983E-2</v>
      </c>
      <c r="AJ461" s="1">
        <v>0.60879665205038558</v>
      </c>
      <c r="AK461" s="1">
        <v>0.21411730329859613</v>
      </c>
      <c r="AL461" s="1">
        <v>4.8854537529080755E-2</v>
      </c>
      <c r="AM461" s="1">
        <v>0.16650232215684424</v>
      </c>
      <c r="AN461" s="1">
        <v>7.6152087359501852E-2</v>
      </c>
      <c r="AO461" s="1">
        <v>0</v>
      </c>
      <c r="BP461" s="1" cm="1">
        <f t="array" ref="BP461:BX475">AG441:AO455</f>
        <v>0.35052987045932937</v>
      </c>
      <c r="BQ461" s="1">
        <v>6.0234892831559694E-2</v>
      </c>
      <c r="BR461" s="1">
        <v>1.9692134597478983E-2</v>
      </c>
      <c r="BS461" s="1">
        <v>0.60879665205038558</v>
      </c>
      <c r="BT461" s="1">
        <v>0.21411730329859613</v>
      </c>
      <c r="BU461" s="1">
        <v>4.8854537529080755E-2</v>
      </c>
      <c r="BV461" s="1">
        <v>0.16650232215684424</v>
      </c>
      <c r="BW461" s="1">
        <v>7.6152087359501852E-2</v>
      </c>
      <c r="BX461" s="1">
        <v>0</v>
      </c>
    </row>
    <row r="462" spans="22:76" ht="24" customHeight="1">
      <c r="V462" s="2">
        <v>5.0596239939544319E-2</v>
      </c>
      <c r="AG462" s="2">
        <v>5.0596239939544319E-2</v>
      </c>
      <c r="AH462" s="2">
        <v>0.52932632389678935</v>
      </c>
      <c r="AI462" s="2">
        <v>0.95079323724795417</v>
      </c>
      <c r="AJ462" s="2">
        <v>0.64389285742015212</v>
      </c>
      <c r="AK462" s="2">
        <v>0.55825801705832712</v>
      </c>
      <c r="AL462" s="2">
        <v>6.8078049231982352E-2</v>
      </c>
      <c r="AM462" s="2">
        <v>0.69352118242809735</v>
      </c>
      <c r="AN462" s="2">
        <v>0</v>
      </c>
      <c r="AO462" s="2">
        <v>8.7496294266891761E-2</v>
      </c>
      <c r="BP462" s="2">
        <v>5.0596239939544319E-2</v>
      </c>
      <c r="BQ462" s="2">
        <v>0.52932632389678935</v>
      </c>
      <c r="BR462" s="2">
        <v>0.95079323724795417</v>
      </c>
      <c r="BS462" s="2">
        <v>0.64389285742015212</v>
      </c>
      <c r="BT462" s="2">
        <v>0.55825801705832712</v>
      </c>
      <c r="BU462" s="2">
        <v>6.8078049231982352E-2</v>
      </c>
      <c r="BV462" s="2">
        <v>0.69352118242809735</v>
      </c>
      <c r="BW462" s="2">
        <v>0</v>
      </c>
      <c r="BX462" s="2">
        <v>8.7496294266891761E-2</v>
      </c>
    </row>
    <row r="463" spans="22:76" ht="24" customHeight="1">
      <c r="V463" s="2">
        <v>0</v>
      </c>
      <c r="AG463" s="2">
        <v>0</v>
      </c>
      <c r="AH463" s="2">
        <v>0</v>
      </c>
      <c r="AI463" s="2">
        <v>0.72738888248021372</v>
      </c>
      <c r="AJ463" s="2">
        <v>0</v>
      </c>
      <c r="AK463" s="2">
        <v>0.14053309996919028</v>
      </c>
      <c r="AL463" s="2">
        <v>0.17635349603513917</v>
      </c>
      <c r="AM463" s="2">
        <v>0</v>
      </c>
      <c r="AN463" s="2">
        <v>0</v>
      </c>
      <c r="AO463" s="2">
        <v>0</v>
      </c>
      <c r="BP463" s="2">
        <v>0</v>
      </c>
      <c r="BQ463" s="2">
        <v>0</v>
      </c>
      <c r="BR463" s="2">
        <v>0.72738888248021372</v>
      </c>
      <c r="BS463" s="2">
        <v>0</v>
      </c>
      <c r="BT463" s="2">
        <v>0.14053309996919028</v>
      </c>
      <c r="BU463" s="2">
        <v>0.17635349603513917</v>
      </c>
      <c r="BV463" s="2">
        <v>0</v>
      </c>
      <c r="BW463" s="2">
        <v>0</v>
      </c>
      <c r="BX463" s="2">
        <v>0</v>
      </c>
    </row>
    <row r="464" spans="22:76" ht="24" customHeight="1">
      <c r="V464" s="2">
        <v>0</v>
      </c>
      <c r="AG464" s="2">
        <v>0</v>
      </c>
      <c r="AH464" s="2">
        <v>0</v>
      </c>
      <c r="AI464" s="2">
        <v>8.8423894190314822E-3</v>
      </c>
      <c r="AJ464" s="2">
        <v>0</v>
      </c>
      <c r="AK464" s="2">
        <v>0</v>
      </c>
      <c r="AL464" s="2">
        <v>0.70303799718132054</v>
      </c>
      <c r="AM464" s="2">
        <v>0.23258994757341522</v>
      </c>
      <c r="AN464" s="2">
        <v>0</v>
      </c>
      <c r="AO464" s="2">
        <v>0</v>
      </c>
      <c r="BP464" s="2">
        <v>0</v>
      </c>
      <c r="BQ464" s="2">
        <v>0</v>
      </c>
      <c r="BR464" s="2">
        <v>8.8423894190314822E-3</v>
      </c>
      <c r="BS464" s="2">
        <v>0</v>
      </c>
      <c r="BT464" s="2">
        <v>0</v>
      </c>
      <c r="BU464" s="2">
        <v>0.70303799718132054</v>
      </c>
      <c r="BV464" s="2">
        <v>0.23258994757341522</v>
      </c>
      <c r="BW464" s="2">
        <v>0</v>
      </c>
      <c r="BX464" s="2">
        <v>0</v>
      </c>
    </row>
    <row r="465" spans="6:76" ht="24" customHeight="1">
      <c r="V465" s="3">
        <v>0</v>
      </c>
      <c r="AG465" s="3">
        <v>0</v>
      </c>
      <c r="AH465" s="3">
        <v>0</v>
      </c>
      <c r="AI465" s="3">
        <v>0</v>
      </c>
      <c r="AJ465" s="3">
        <v>0.48661376226032305</v>
      </c>
      <c r="AK465" s="3">
        <v>9.9957393730997657E-2</v>
      </c>
      <c r="AL465" s="3">
        <v>0</v>
      </c>
      <c r="AM465" s="3">
        <v>0</v>
      </c>
      <c r="AN465" s="3">
        <v>0.68309828429930342</v>
      </c>
      <c r="AO465" s="3">
        <v>0.69815168148241891</v>
      </c>
      <c r="BP465" s="3">
        <v>0</v>
      </c>
      <c r="BQ465" s="3">
        <v>0</v>
      </c>
      <c r="BR465" s="3">
        <v>0</v>
      </c>
      <c r="BS465" s="3">
        <v>0.48661376226032305</v>
      </c>
      <c r="BT465" s="3">
        <v>9.9957393730997657E-2</v>
      </c>
      <c r="BU465" s="3">
        <v>0</v>
      </c>
      <c r="BV465" s="3">
        <v>0</v>
      </c>
      <c r="BW465" s="3">
        <v>0.68309828429930342</v>
      </c>
      <c r="BX465" s="3">
        <v>0.69815168148241891</v>
      </c>
    </row>
    <row r="466" spans="6:76" ht="24" customHeight="1">
      <c r="V466" s="1">
        <v>0.45298031946747197</v>
      </c>
      <c r="AG466" s="1">
        <v>0.45298031946747197</v>
      </c>
      <c r="AH466" s="1">
        <v>0.54693228014074613</v>
      </c>
      <c r="AI466" s="1">
        <v>0</v>
      </c>
      <c r="AJ466" s="1">
        <v>0.7417594961622529</v>
      </c>
      <c r="AK466" s="1">
        <v>0</v>
      </c>
      <c r="AL466" s="1">
        <v>0.59353743764864708</v>
      </c>
      <c r="AM466" s="1">
        <v>0</v>
      </c>
      <c r="AN466" s="1">
        <v>0</v>
      </c>
      <c r="AO466" s="1">
        <v>0.99701811685424402</v>
      </c>
      <c r="BP466" s="1">
        <v>0.45298031946747197</v>
      </c>
      <c r="BQ466" s="1">
        <v>0.54693228014074613</v>
      </c>
      <c r="BR466" s="1">
        <v>0</v>
      </c>
      <c r="BS466" s="1">
        <v>0.7417594961622529</v>
      </c>
      <c r="BT466" s="1">
        <v>0</v>
      </c>
      <c r="BU466" s="1">
        <v>0.59353743764864708</v>
      </c>
      <c r="BV466" s="1">
        <v>0</v>
      </c>
      <c r="BW466" s="1">
        <v>0</v>
      </c>
      <c r="BX466" s="1">
        <v>0.99701811685424402</v>
      </c>
    </row>
    <row r="467" spans="6:76" ht="24" customHeight="1">
      <c r="V467" s="2">
        <v>0</v>
      </c>
      <c r="AG467" s="2">
        <v>0</v>
      </c>
      <c r="AH467" s="2">
        <v>1.9438351303930235E-2</v>
      </c>
      <c r="AI467" s="2">
        <v>0</v>
      </c>
      <c r="AJ467" s="2">
        <v>0.72720947380445078</v>
      </c>
      <c r="AK467" s="2">
        <v>0</v>
      </c>
      <c r="AL467" s="2">
        <v>0</v>
      </c>
      <c r="AM467" s="2">
        <v>0</v>
      </c>
      <c r="AN467" s="2">
        <v>0</v>
      </c>
      <c r="AO467" s="2">
        <v>0.44371495684654394</v>
      </c>
      <c r="BP467" s="2">
        <v>0</v>
      </c>
      <c r="BQ467" s="2">
        <v>1.9438351303930235E-2</v>
      </c>
      <c r="BR467" s="2">
        <v>0</v>
      </c>
      <c r="BS467" s="2">
        <v>0.72720947380445078</v>
      </c>
      <c r="BT467" s="2">
        <v>0</v>
      </c>
      <c r="BU467" s="2">
        <v>0</v>
      </c>
      <c r="BV467" s="2">
        <v>0</v>
      </c>
      <c r="BW467" s="2">
        <v>0</v>
      </c>
      <c r="BX467" s="2">
        <v>0.44371495684654394</v>
      </c>
    </row>
    <row r="468" spans="6:76" ht="24" customHeight="1">
      <c r="V468" s="2">
        <v>0</v>
      </c>
      <c r="AG468" s="2">
        <v>0</v>
      </c>
      <c r="AH468" s="2">
        <v>0.28957892393581552</v>
      </c>
      <c r="AI468" s="2">
        <v>0</v>
      </c>
      <c r="AJ468" s="2">
        <v>7.4074461546983272E-2</v>
      </c>
      <c r="AK468" s="2">
        <v>0</v>
      </c>
      <c r="AL468" s="2">
        <v>0.74873230461529316</v>
      </c>
      <c r="AM468" s="2">
        <v>0</v>
      </c>
      <c r="AN468" s="2">
        <v>0</v>
      </c>
      <c r="AO468" s="2">
        <v>0.230332999212989</v>
      </c>
      <c r="BP468" s="2">
        <v>0</v>
      </c>
      <c r="BQ468" s="2">
        <v>0.28957892393581552</v>
      </c>
      <c r="BR468" s="2">
        <v>0</v>
      </c>
      <c r="BS468" s="2">
        <v>7.4074461546983272E-2</v>
      </c>
      <c r="BT468" s="2">
        <v>0</v>
      </c>
      <c r="BU468" s="2">
        <v>0.74873230461529316</v>
      </c>
      <c r="BV468" s="2">
        <v>0</v>
      </c>
      <c r="BW468" s="2">
        <v>0</v>
      </c>
      <c r="BX468" s="2">
        <v>0.230332999212989</v>
      </c>
    </row>
    <row r="469" spans="6:76" ht="24" customHeight="1">
      <c r="V469" s="2">
        <v>0.66555818761426222</v>
      </c>
      <c r="AG469" s="2">
        <v>0.66555818761426222</v>
      </c>
      <c r="AH469" s="2">
        <v>0</v>
      </c>
      <c r="AI469" s="2">
        <v>0.72193450267930115</v>
      </c>
      <c r="AJ469" s="2">
        <v>0.3482382895698295</v>
      </c>
      <c r="AK469" s="2">
        <v>0.29631923296730589</v>
      </c>
      <c r="AL469" s="2">
        <v>0</v>
      </c>
      <c r="AM469" s="2">
        <v>0.2306705917082994</v>
      </c>
      <c r="AN469" s="2">
        <v>0</v>
      </c>
      <c r="AO469" s="2">
        <v>0.92319844667956019</v>
      </c>
      <c r="BP469" s="2">
        <v>0.66555818761426222</v>
      </c>
      <c r="BQ469" s="2">
        <v>0</v>
      </c>
      <c r="BR469" s="2">
        <v>0.72193450267930115</v>
      </c>
      <c r="BS469" s="2">
        <v>0.3482382895698295</v>
      </c>
      <c r="BT469" s="2">
        <v>0.29631923296730589</v>
      </c>
      <c r="BU469" s="2">
        <v>0</v>
      </c>
      <c r="BV469" s="2">
        <v>0.2306705917082994</v>
      </c>
      <c r="BW469" s="2">
        <v>0</v>
      </c>
      <c r="BX469" s="2">
        <v>0.92319844667956019</v>
      </c>
    </row>
    <row r="470" spans="6:76" ht="24" customHeight="1">
      <c r="V470" s="3">
        <v>0.3804714005975165</v>
      </c>
      <c r="AG470" s="3">
        <v>0.3804714005975165</v>
      </c>
      <c r="AH470" s="3">
        <v>0</v>
      </c>
      <c r="AI470" s="3">
        <v>0</v>
      </c>
      <c r="AJ470" s="3">
        <v>0.33819888841109447</v>
      </c>
      <c r="AK470" s="3">
        <v>0</v>
      </c>
      <c r="AL470" s="3">
        <v>0.19930777499941521</v>
      </c>
      <c r="AM470" s="3">
        <v>0.10201519251885527</v>
      </c>
      <c r="AN470" s="3">
        <v>0</v>
      </c>
      <c r="AO470" s="3">
        <v>0.36708194055235577</v>
      </c>
      <c r="BP470" s="3">
        <v>0.3804714005975165</v>
      </c>
      <c r="BQ470" s="3">
        <v>0</v>
      </c>
      <c r="BR470" s="3">
        <v>0</v>
      </c>
      <c r="BS470" s="3">
        <v>0.33819888841109447</v>
      </c>
      <c r="BT470" s="3">
        <v>0</v>
      </c>
      <c r="BU470" s="3">
        <v>0.19930777499941521</v>
      </c>
      <c r="BV470" s="3">
        <v>0.10201519251885527</v>
      </c>
      <c r="BW470" s="3">
        <v>0</v>
      </c>
      <c r="BX470" s="3">
        <v>0.36708194055235577</v>
      </c>
    </row>
    <row r="471" spans="6:76" ht="24" customHeight="1">
      <c r="V471" s="4">
        <v>0.42438326448296748</v>
      </c>
      <c r="AG471" s="4">
        <v>0.42438326448296748</v>
      </c>
      <c r="AH471" s="4">
        <v>0</v>
      </c>
      <c r="AI471" s="4">
        <v>0</v>
      </c>
      <c r="AJ471" s="4">
        <v>0.4224512403845142</v>
      </c>
      <c r="AK471" s="4">
        <v>0</v>
      </c>
      <c r="AL471" s="4">
        <v>0.2331103524395135</v>
      </c>
      <c r="AM471" s="4">
        <v>0</v>
      </c>
      <c r="AN471" s="4">
        <v>0.58200925470847253</v>
      </c>
      <c r="AO471" s="4">
        <v>0.75880450459934434</v>
      </c>
      <c r="BP471" s="4">
        <v>0.42438326448296748</v>
      </c>
      <c r="BQ471" s="4">
        <v>0</v>
      </c>
      <c r="BR471" s="4">
        <v>0</v>
      </c>
      <c r="BS471" s="4">
        <v>0.4224512403845142</v>
      </c>
      <c r="BT471" s="4">
        <v>0</v>
      </c>
      <c r="BU471" s="4">
        <v>0.2331103524395135</v>
      </c>
      <c r="BV471" s="4">
        <v>0</v>
      </c>
      <c r="BW471" s="4">
        <v>0.58200925470847253</v>
      </c>
      <c r="BX471" s="4">
        <v>0.75880450459934434</v>
      </c>
    </row>
    <row r="472" spans="6:76" ht="24" customHeight="1">
      <c r="V472" s="5">
        <v>0.91600212845270668</v>
      </c>
      <c r="AG472" s="5">
        <v>0.91600212845270668</v>
      </c>
      <c r="AH472" s="5">
        <v>0.64685229868914229</v>
      </c>
      <c r="AI472" s="5">
        <v>0.30050476887593147</v>
      </c>
      <c r="AJ472" s="5">
        <v>0.62954500079728359</v>
      </c>
      <c r="AK472" s="5">
        <v>0.19047944534231087</v>
      </c>
      <c r="AL472" s="5">
        <v>0</v>
      </c>
      <c r="AM472" s="5">
        <v>0.96362875607676157</v>
      </c>
      <c r="AN472" s="5">
        <v>0</v>
      </c>
      <c r="AO472" s="5">
        <v>0.98942045304882309</v>
      </c>
      <c r="BP472" s="5">
        <v>0.91600212845270668</v>
      </c>
      <c r="BQ472" s="5">
        <v>0.64685229868914229</v>
      </c>
      <c r="BR472" s="5">
        <v>0.30050476887593147</v>
      </c>
      <c r="BS472" s="5">
        <v>0.62954500079728359</v>
      </c>
      <c r="BT472" s="5">
        <v>0.19047944534231087</v>
      </c>
      <c r="BU472" s="5">
        <v>0</v>
      </c>
      <c r="BV472" s="5">
        <v>0.96362875607676157</v>
      </c>
      <c r="BW472" s="5">
        <v>0</v>
      </c>
      <c r="BX472" s="5">
        <v>0.98942045304882309</v>
      </c>
    </row>
    <row r="473" spans="6:76" ht="24" customHeight="1">
      <c r="V473" s="5">
        <v>0</v>
      </c>
      <c r="AG473" s="5">
        <v>0</v>
      </c>
      <c r="AH473" s="5">
        <v>0</v>
      </c>
      <c r="AI473" s="5">
        <v>0</v>
      </c>
      <c r="AJ473" s="5">
        <v>9.5950788360306127E-2</v>
      </c>
      <c r="AK473" s="5">
        <v>0</v>
      </c>
      <c r="AL473" s="5">
        <v>0</v>
      </c>
      <c r="AM473" s="5">
        <v>2.390615340420621E-2</v>
      </c>
      <c r="AN473" s="5">
        <v>0</v>
      </c>
      <c r="AO473" s="5">
        <v>0.815952905015916</v>
      </c>
      <c r="BP473" s="5">
        <v>0</v>
      </c>
      <c r="BQ473" s="5">
        <v>0</v>
      </c>
      <c r="BR473" s="5">
        <v>0</v>
      </c>
      <c r="BS473" s="5">
        <v>9.5950788360306127E-2</v>
      </c>
      <c r="BT473" s="5">
        <v>0</v>
      </c>
      <c r="BU473" s="5">
        <v>0</v>
      </c>
      <c r="BV473" s="5">
        <v>2.390615340420621E-2</v>
      </c>
      <c r="BW473" s="5">
        <v>0</v>
      </c>
      <c r="BX473" s="5">
        <v>0.815952905015916</v>
      </c>
    </row>
    <row r="474" spans="6:76" ht="24" customHeight="1">
      <c r="V474" s="5">
        <v>0.64663122451953514</v>
      </c>
      <c r="AG474" s="5">
        <v>0.64663122451953514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0.88157297698096904</v>
      </c>
      <c r="AN474" s="5">
        <v>0</v>
      </c>
      <c r="AO474" s="5">
        <v>8.8981814586390762E-3</v>
      </c>
      <c r="BP474" s="5">
        <v>0.64663122451953514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0.88157297698096904</v>
      </c>
      <c r="BW474" s="5">
        <v>0</v>
      </c>
      <c r="BX474" s="5">
        <v>8.8981814586390762E-3</v>
      </c>
    </row>
    <row r="475" spans="6:76" ht="24" customHeight="1">
      <c r="V475" s="6">
        <v>0.71575455850445335</v>
      </c>
      <c r="AG475" s="6">
        <v>0.71575455850445335</v>
      </c>
      <c r="AH475" s="6">
        <v>0.77663462800009087</v>
      </c>
      <c r="AI475" s="6">
        <v>0.45242548706548091</v>
      </c>
      <c r="AJ475" s="6">
        <v>0</v>
      </c>
      <c r="AK475" s="6">
        <v>1.0952159116945692E-2</v>
      </c>
      <c r="AL475" s="6">
        <v>6.4803492754624381E-2</v>
      </c>
      <c r="AM475" s="6">
        <v>0.68054098033651744</v>
      </c>
      <c r="AN475" s="6">
        <v>0</v>
      </c>
      <c r="AO475" s="6">
        <v>0.42606407952554259</v>
      </c>
      <c r="BP475" s="6">
        <v>0.71575455850445335</v>
      </c>
      <c r="BQ475" s="6">
        <v>0.77663462800009087</v>
      </c>
      <c r="BR475" s="6">
        <v>0.45242548706548091</v>
      </c>
      <c r="BS475" s="6">
        <v>0</v>
      </c>
      <c r="BT475" s="6">
        <v>1.0952159116945692E-2</v>
      </c>
      <c r="BU475" s="6">
        <v>6.4803492754624381E-2</v>
      </c>
      <c r="BV475" s="6">
        <v>0.68054098033651744</v>
      </c>
      <c r="BW475" s="6">
        <v>0</v>
      </c>
      <c r="BX475" s="6">
        <v>0.42606407952554259</v>
      </c>
    </row>
    <row r="477" spans="6:76" ht="24" customHeight="1">
      <c r="F477" s="7" cm="1">
        <f t="array" aca="1" ref="F477:T485" ca="1">_xlfn.RANDARRAY(3*3,5*3)</f>
        <v>3.4239475880530001E-2</v>
      </c>
      <c r="G477" s="7">
        <f ca="1"/>
        <v>0.66158961994279775</v>
      </c>
      <c r="H477" s="7">
        <f ca="1"/>
        <v>0.12796063427747839</v>
      </c>
      <c r="I477" s="7">
        <f ca="1"/>
        <v>0.40232066703806724</v>
      </c>
      <c r="J477" s="7">
        <f ca="1"/>
        <v>0.29084995642772027</v>
      </c>
      <c r="K477" s="7">
        <f ca="1"/>
        <v>0.7701651543016903</v>
      </c>
      <c r="L477" s="7">
        <f ca="1"/>
        <v>0.31561982898244612</v>
      </c>
      <c r="M477" s="7">
        <f ca="1"/>
        <v>0.30350841010272678</v>
      </c>
      <c r="N477" s="7">
        <f ca="1"/>
        <v>0.50619413581983852</v>
      </c>
      <c r="O477" s="7">
        <f ca="1"/>
        <v>9.3070000840477674E-2</v>
      </c>
      <c r="P477" s="7">
        <f ca="1"/>
        <v>3.3027088212020939E-3</v>
      </c>
      <c r="Q477" s="7">
        <f ca="1"/>
        <v>5.7196105510612494E-2</v>
      </c>
      <c r="R477" s="7">
        <f ca="1"/>
        <v>0.47402249828311094</v>
      </c>
      <c r="S477" s="7">
        <f ca="1"/>
        <v>0.10412092321227062</v>
      </c>
      <c r="T477" s="7">
        <f ca="1"/>
        <v>0.47307987674297847</v>
      </c>
      <c r="V477" cm="1">
        <f t="array" aca="1" ref="V477:V485" ca="1">MMULT(_xlfn.ANCHORARRAY(F477),_xlfn.ANCHORARRAY(V461))</f>
        <v>1.2263879761545098</v>
      </c>
      <c r="AG477" cm="1">
        <f t="array" aca="1" ref="AG477:AO485" ca="1">MMULT(_xlfn.ANCHORARRAY(F477),_xlfn.ANCHORARRAY(AG461))</f>
        <v>1.2263879761545098</v>
      </c>
      <c r="AH477">
        <f ca="1"/>
        <v>1.2719198108715239</v>
      </c>
      <c r="AI477">
        <f ca="1"/>
        <v>1.3230039114461356</v>
      </c>
      <c r="AJ477">
        <f ca="1"/>
        <v>1.7022885083005725</v>
      </c>
      <c r="AK477">
        <f ca="1"/>
        <v>0.58979526839506069</v>
      </c>
      <c r="AL477">
        <f ca="1"/>
        <v>1.0864706080517539</v>
      </c>
      <c r="AM477">
        <f ca="1"/>
        <v>1.1645500673898379</v>
      </c>
      <c r="AN477">
        <f ca="1"/>
        <v>0.20320872088224748</v>
      </c>
      <c r="AO477">
        <f ca="1"/>
        <v>2.3886138061930531</v>
      </c>
      <c r="AZ477" s="7" cm="1">
        <f t="array" aca="1" ref="AZ477:BN479" ca="1">_xlfn.RANDARRAY(3,5*3)</f>
        <v>0.55060286140072567</v>
      </c>
      <c r="BA477" s="7">
        <f ca="1"/>
        <v>0.12381479953746233</v>
      </c>
      <c r="BB477" s="7">
        <f ca="1"/>
        <v>0.96084640625111972</v>
      </c>
      <c r="BC477" s="7">
        <f ca="1"/>
        <v>0.84260871930837777</v>
      </c>
      <c r="BD477" s="7">
        <f ca="1"/>
        <v>0.93183599139108297</v>
      </c>
      <c r="BE477" s="7">
        <f ca="1"/>
        <v>0.32701197022519191</v>
      </c>
      <c r="BF477" s="7">
        <f ca="1"/>
        <v>0.18329707346002233</v>
      </c>
      <c r="BG477" s="7">
        <f ca="1"/>
        <v>0.15781467446040898</v>
      </c>
      <c r="BH477" s="7">
        <f ca="1"/>
        <v>0.36230506692899223</v>
      </c>
      <c r="BI477" s="7">
        <f ca="1"/>
        <v>0.6979073945451153</v>
      </c>
      <c r="BJ477" s="7">
        <f ca="1"/>
        <v>0.66691604916086411</v>
      </c>
      <c r="BK477" s="7">
        <f ca="1"/>
        <v>0.1809752963272484</v>
      </c>
      <c r="BL477" s="7">
        <f ca="1"/>
        <v>0.67783554880775188</v>
      </c>
      <c r="BM477" s="7">
        <f ca="1"/>
        <v>0.79939004788129431</v>
      </c>
      <c r="BN477" s="7">
        <f ca="1"/>
        <v>0.57276605686851068</v>
      </c>
      <c r="BP477" cm="1">
        <f t="array" aca="1" ref="BP477:BX479" ca="1">MMULT(_xlfn.ANCHORARRAY(AZ477),_xlfn.ANCHORARRAY(BP461))</f>
        <v>2.2297384557303173</v>
      </c>
      <c r="BQ477">
        <f ca="1"/>
        <v>0.88871437600179615</v>
      </c>
      <c r="BR477">
        <f ca="1"/>
        <v>1.4100029179899747</v>
      </c>
      <c r="BS477">
        <f ca="1"/>
        <v>2.07883296334108</v>
      </c>
      <c r="BT477">
        <f ca="1"/>
        <v>0.56329188408204245</v>
      </c>
      <c r="BU477">
        <f ca="1"/>
        <v>1.4410985255447508</v>
      </c>
      <c r="BV477">
        <f ca="1"/>
        <v>1.8134063188353808</v>
      </c>
      <c r="BW477">
        <f ca="1"/>
        <v>1.0666164368946025</v>
      </c>
      <c r="BX477">
        <f ca="1"/>
        <v>3.185132922844093</v>
      </c>
    </row>
    <row r="478" spans="6:76" ht="24" customHeight="1">
      <c r="F478" s="7">
        <f ca="1"/>
        <v>0.70382433164365854</v>
      </c>
      <c r="G478" s="7">
        <f ca="1"/>
        <v>0.5511775721573533</v>
      </c>
      <c r="H478" s="7">
        <f ca="1"/>
        <v>0.78379629710864118</v>
      </c>
      <c r="I478" s="7">
        <f ca="1"/>
        <v>0.55076513198875143</v>
      </c>
      <c r="J478" s="7">
        <f ca="1"/>
        <v>0.51642018912389154</v>
      </c>
      <c r="K478" s="7">
        <f ca="1"/>
        <v>0.27530115913711173</v>
      </c>
      <c r="L478" s="7">
        <f ca="1"/>
        <v>0.82530243602211462</v>
      </c>
      <c r="M478" s="7">
        <f ca="1"/>
        <v>0.63160339486700234</v>
      </c>
      <c r="N478" s="7">
        <f ca="1"/>
        <v>0.13085126565988214</v>
      </c>
      <c r="O478" s="7">
        <f ca="1"/>
        <v>0.16140816729089114</v>
      </c>
      <c r="P478" s="7">
        <f ca="1"/>
        <v>0.57129424048061628</v>
      </c>
      <c r="Q478" s="7">
        <f ca="1"/>
        <v>0.80234025869112835</v>
      </c>
      <c r="R478" s="7">
        <f ca="1"/>
        <v>0.63918979279571309</v>
      </c>
      <c r="S478" s="7">
        <f ca="1"/>
        <v>0.18206326632516001</v>
      </c>
      <c r="T478" s="7">
        <f ca="1"/>
        <v>0.88045178093385768</v>
      </c>
      <c r="V478">
        <f ca="1"/>
        <v>2.2731135622501939</v>
      </c>
      <c r="AG478">
        <f ca="1"/>
        <v>2.2731135622501939</v>
      </c>
      <c r="AH478">
        <f ca="1"/>
        <v>1.8864452041114235</v>
      </c>
      <c r="AI478">
        <f ca="1"/>
        <v>1.8468224472467456</v>
      </c>
      <c r="AJ478">
        <f ca="1"/>
        <v>2.7937825580082158</v>
      </c>
      <c r="AK478">
        <f ca="1"/>
        <v>0.82141552804302265</v>
      </c>
      <c r="AL478">
        <f ca="1"/>
        <v>1.4560464036609233</v>
      </c>
      <c r="AM478">
        <f ca="1"/>
        <v>2.2223180529926698</v>
      </c>
      <c r="AN478">
        <f ca="1"/>
        <v>0.73886197227848927</v>
      </c>
      <c r="AO478">
        <f ca="1"/>
        <v>3.5006258924578426</v>
      </c>
      <c r="AZ478" s="7">
        <f ca="1"/>
        <v>0.55930380785094624</v>
      </c>
      <c r="BA478" s="7">
        <f ca="1"/>
        <v>0.36991027596999526</v>
      </c>
      <c r="BB478" s="7">
        <f ca="1"/>
        <v>0.19023005995682096</v>
      </c>
      <c r="BC478" s="7">
        <f ca="1"/>
        <v>0.47158698406201571</v>
      </c>
      <c r="BD478" s="7">
        <f ca="1"/>
        <v>3.0647608661533932E-2</v>
      </c>
      <c r="BE478" s="7">
        <f ca="1"/>
        <v>0.23880542433636864</v>
      </c>
      <c r="BF478" s="7">
        <f ca="1"/>
        <v>0.64665568539444895</v>
      </c>
      <c r="BG478" s="7">
        <f ca="1"/>
        <v>0.63850446306204223</v>
      </c>
      <c r="BH478" s="7">
        <f ca="1"/>
        <v>0.92942771572150074</v>
      </c>
      <c r="BI478" s="7">
        <f ca="1"/>
        <v>0.46599746249993057</v>
      </c>
      <c r="BJ478" s="7">
        <f ca="1"/>
        <v>0.65699842897060501</v>
      </c>
      <c r="BK478" s="7">
        <f ca="1"/>
        <v>0.18288435276992887</v>
      </c>
      <c r="BL478" s="7">
        <f ca="1"/>
        <v>0.42604101604010469</v>
      </c>
      <c r="BM478" s="7">
        <f ca="1"/>
        <v>0.7016917566773786</v>
      </c>
      <c r="BN478" s="7">
        <f ca="1"/>
        <v>0.28622066431148907</v>
      </c>
      <c r="BP478">
        <f ca="1"/>
        <v>2.2237709905445944</v>
      </c>
      <c r="BQ478">
        <f ca="1"/>
        <v>0.89815864558339753</v>
      </c>
      <c r="BR478">
        <f ca="1"/>
        <v>1.3607003404752813</v>
      </c>
      <c r="BS478">
        <f ca="1"/>
        <v>2.2031104691227896</v>
      </c>
      <c r="BT478">
        <f ca="1"/>
        <v>0.6694368274897915</v>
      </c>
      <c r="BU478">
        <f ca="1"/>
        <v>1.3019856330203232</v>
      </c>
      <c r="BV478">
        <f ca="1"/>
        <v>1.7210778542581735</v>
      </c>
      <c r="BW478">
        <f ca="1"/>
        <v>0.44590664732035673</v>
      </c>
      <c r="BX478">
        <f ca="1"/>
        <v>2.9102651318994242</v>
      </c>
    </row>
    <row r="479" spans="6:76" ht="24" customHeight="1">
      <c r="F479" s="7">
        <f ca="1"/>
        <v>0.29970290345283934</v>
      </c>
      <c r="G479" s="7">
        <f ca="1"/>
        <v>0.17566355424683744</v>
      </c>
      <c r="H479" s="7">
        <f ca="1"/>
        <v>0.80490813340711376</v>
      </c>
      <c r="I479" s="7">
        <f ca="1"/>
        <v>0.45064439573527437</v>
      </c>
      <c r="J479" s="7">
        <f ca="1"/>
        <v>0.39399771116316251</v>
      </c>
      <c r="K479" s="7">
        <f ca="1"/>
        <v>0.75736715206383809</v>
      </c>
      <c r="L479" s="7">
        <f ca="1"/>
        <v>7.3073923106374838E-3</v>
      </c>
      <c r="M479" s="7">
        <f ca="1"/>
        <v>0.68823227889556615</v>
      </c>
      <c r="N479" s="7">
        <f ca="1"/>
        <v>0.65687550894349944</v>
      </c>
      <c r="O479" s="7">
        <f ca="1"/>
        <v>0.43636435019035558</v>
      </c>
      <c r="P479" s="7">
        <f ca="1"/>
        <v>0.16768272096688053</v>
      </c>
      <c r="Q479" s="7">
        <f ca="1"/>
        <v>0.20958400679056055</v>
      </c>
      <c r="R479" s="7">
        <f ca="1"/>
        <v>0.88001872988877472</v>
      </c>
      <c r="S479" s="7">
        <f ca="1"/>
        <v>0.11404034817641961</v>
      </c>
      <c r="T479" s="7">
        <f ca="1"/>
        <v>0.54673541168276696</v>
      </c>
      <c r="V479">
        <f ca="1"/>
        <v>1.7884397284921563</v>
      </c>
      <c r="AG479">
        <f ca="1"/>
        <v>1.7884397284921563</v>
      </c>
      <c r="AH479">
        <f ca="1"/>
        <v>1.2848876150918891</v>
      </c>
      <c r="AI479">
        <f ca="1"/>
        <v>1.5469466325362609</v>
      </c>
      <c r="AJ479">
        <f ca="1"/>
        <v>1.7689160281534007</v>
      </c>
      <c r="AK479">
        <f ca="1"/>
        <v>0.55529061001815316</v>
      </c>
      <c r="AL479">
        <f ca="1"/>
        <v>1.6116864248518972</v>
      </c>
      <c r="AM479">
        <f ca="1"/>
        <v>1.1681904179324567</v>
      </c>
      <c r="AN479">
        <f ca="1"/>
        <v>0.38955505765646864</v>
      </c>
      <c r="AO479">
        <f ca="1"/>
        <v>3.2605397902114213</v>
      </c>
      <c r="AZ479" s="7">
        <f ca="1"/>
        <v>0.70978988669457754</v>
      </c>
      <c r="BA479" s="7">
        <f ca="1"/>
        <v>0.43090335632126009</v>
      </c>
      <c r="BB479" s="7">
        <f ca="1"/>
        <v>0.6108388177211479</v>
      </c>
      <c r="BC479" s="7">
        <f ca="1"/>
        <v>0.71690726094221846</v>
      </c>
      <c r="BD479" s="7">
        <f ca="1"/>
        <v>0.52965482836942446</v>
      </c>
      <c r="BE479" s="7">
        <f ca="1"/>
        <v>0.46035732255855666</v>
      </c>
      <c r="BF479" s="7">
        <f ca="1"/>
        <v>0.52035757288572948</v>
      </c>
      <c r="BG479" s="7">
        <f ca="1"/>
        <v>0.66372948419283073</v>
      </c>
      <c r="BH479" s="7">
        <f ca="1"/>
        <v>0.21380174936447238</v>
      </c>
      <c r="BI479" s="7">
        <f ca="1"/>
        <v>0.27519476472467175</v>
      </c>
      <c r="BJ479" s="7">
        <f ca="1"/>
        <v>0.19412825467269168</v>
      </c>
      <c r="BK479" s="7">
        <f ca="1"/>
        <v>0.24775841079796201</v>
      </c>
      <c r="BL479" s="7">
        <f ca="1"/>
        <v>0.57125716938503257</v>
      </c>
      <c r="BM479" s="7">
        <f ca="1"/>
        <v>0.34026322042012103</v>
      </c>
      <c r="BN479" s="7">
        <f ca="1"/>
        <v>0.49073629831333077</v>
      </c>
      <c r="BP479">
        <f ca="1"/>
        <v>1.6067422755729819</v>
      </c>
      <c r="BQ479">
        <f ca="1"/>
        <v>1.2663297505741269</v>
      </c>
      <c r="BR479">
        <f ca="1"/>
        <v>1.325158865617156</v>
      </c>
      <c r="BS479">
        <f ca="1"/>
        <v>2.1966812910377995</v>
      </c>
      <c r="BT479">
        <f ca="1"/>
        <v>0.64724061561808355</v>
      </c>
      <c r="BU479">
        <f ca="1"/>
        <v>1.5778463227209816</v>
      </c>
      <c r="BV479">
        <f ca="1"/>
        <v>1.5474962271946711</v>
      </c>
      <c r="BW479">
        <f ca="1"/>
        <v>0.52884272680836208</v>
      </c>
      <c r="BX479">
        <f ca="1"/>
        <v>2.6193105718022398</v>
      </c>
    </row>
    <row r="480" spans="6:76" ht="24" customHeight="1">
      <c r="F480" s="7">
        <f ca="1"/>
        <v>7.2240015857295559E-2</v>
      </c>
      <c r="G480" s="7">
        <f ca="1"/>
        <v>0.98805118955756277</v>
      </c>
      <c r="H480" s="7">
        <f ca="1"/>
        <v>0.66280170516403669</v>
      </c>
      <c r="I480" s="7">
        <f ca="1"/>
        <v>0.37761797398349861</v>
      </c>
      <c r="J480" s="7">
        <f ca="1"/>
        <v>0.10446460085413989</v>
      </c>
      <c r="K480" s="7">
        <f ca="1"/>
        <v>0.38952008134802441</v>
      </c>
      <c r="L480" s="7">
        <f ca="1"/>
        <v>0.41716443144546855</v>
      </c>
      <c r="M480" s="7">
        <f ca="1"/>
        <v>0.89307172524865286</v>
      </c>
      <c r="N480" s="7">
        <f ca="1"/>
        <v>0.83209334998654816</v>
      </c>
      <c r="O480" s="7">
        <f ca="1"/>
        <v>0.46142263273103978</v>
      </c>
      <c r="P480" s="7">
        <f ca="1"/>
        <v>0.12683393140334287</v>
      </c>
      <c r="Q480" s="7">
        <f ca="1"/>
        <v>0.1545514352774926</v>
      </c>
      <c r="R480" s="7">
        <f ca="1"/>
        <v>5.7604416245709666E-2</v>
      </c>
      <c r="S480" s="7">
        <f ca="1"/>
        <v>0.59648390443721477</v>
      </c>
      <c r="T480" s="7">
        <f ca="1"/>
        <v>0.92618718795358213</v>
      </c>
      <c r="V480">
        <f ca="1"/>
        <v>2.2251470074977577</v>
      </c>
      <c r="AG480">
        <f ca="1"/>
        <v>2.2251470074977577</v>
      </c>
      <c r="AH480">
        <f ca="1"/>
        <v>1.8263987111706343</v>
      </c>
      <c r="AI480">
        <f ca="1"/>
        <v>2.4924996177710552</v>
      </c>
      <c r="AJ480">
        <f ca="1"/>
        <v>1.9916872597821471</v>
      </c>
      <c r="AK480">
        <f ca="1"/>
        <v>0.95679080709850339</v>
      </c>
      <c r="AL480">
        <f ca="1"/>
        <v>1.5345790195718494</v>
      </c>
      <c r="AM480">
        <f ca="1"/>
        <v>2.3305640241133481</v>
      </c>
      <c r="AN480">
        <f ca="1"/>
        <v>0.1506793394996962</v>
      </c>
      <c r="AO480">
        <f ca="1"/>
        <v>2.5721984367763175</v>
      </c>
    </row>
    <row r="481" spans="6:76" ht="24" customHeight="1">
      <c r="F481" s="7">
        <f ca="1"/>
        <v>0.77651824505231737</v>
      </c>
      <c r="G481" s="7">
        <f ca="1"/>
        <v>0.55409062854042168</v>
      </c>
      <c r="H481" s="7">
        <f ca="1"/>
        <v>0.80614123379766078</v>
      </c>
      <c r="I481" s="7">
        <f ca="1"/>
        <v>0.57048597409329216</v>
      </c>
      <c r="J481" s="7">
        <f ca="1"/>
        <v>0.34725184112113983</v>
      </c>
      <c r="K481" s="7">
        <f ca="1"/>
        <v>0.62296505980594041</v>
      </c>
      <c r="L481" s="7">
        <f ca="1"/>
        <v>0.53268530092833299</v>
      </c>
      <c r="M481" s="7">
        <f ca="1"/>
        <v>0.95994896576162447</v>
      </c>
      <c r="N481" s="7">
        <f ca="1"/>
        <v>0.93791803459663248</v>
      </c>
      <c r="O481" s="7">
        <f ca="1"/>
        <v>0.49683816131100556</v>
      </c>
      <c r="P481" s="7">
        <f ca="1"/>
        <v>0.1732332284851732</v>
      </c>
      <c r="Q481" s="7">
        <f ca="1"/>
        <v>0.49985245005802947</v>
      </c>
      <c r="R481" s="7">
        <f ca="1"/>
        <v>0.22513072207822526</v>
      </c>
      <c r="S481" s="7">
        <f ca="1"/>
        <v>0.21511238771803232</v>
      </c>
      <c r="T481" s="7">
        <f ca="1"/>
        <v>0.64911512380048952</v>
      </c>
      <c r="V481">
        <f ca="1"/>
        <v>2.5307790791072371</v>
      </c>
      <c r="AG481">
        <f ca="1"/>
        <v>2.5307790791072371</v>
      </c>
      <c r="AH481">
        <f ca="1"/>
        <v>1.7965794509710165</v>
      </c>
      <c r="AI481">
        <f ca="1"/>
        <v>2.2545392154362291</v>
      </c>
      <c r="AJ481">
        <f ca="1"/>
        <v>2.8231787394029042</v>
      </c>
      <c r="AK481">
        <f ca="1"/>
        <v>1.003835425916676</v>
      </c>
      <c r="AL481">
        <f ca="1"/>
        <v>1.888865971782415</v>
      </c>
      <c r="AM481">
        <f ca="1"/>
        <v>2.0317310453507811</v>
      </c>
      <c r="AN481">
        <f ca="1"/>
        <v>0.39716396432449419</v>
      </c>
      <c r="AO481">
        <f ca="1"/>
        <v>3.5059451381829057</v>
      </c>
      <c r="BK481" t="s">
        <v>29</v>
      </c>
      <c r="BN481" s="7" cm="1">
        <f t="array" aca="1" ref="BN481:BN483" ca="1">_xlfn.RANDARRAY(ROWS(_xlfn.ANCHORARRAY(BP477)),1)</f>
        <v>0.3591120025459098</v>
      </c>
      <c r="BP481" cm="1">
        <f t="array" aca="1" ref="BP481:BX483" ca="1">BK482*_xlfn.ANCHORARRAY(BP477)+_xlfn.ANCHORARRAY(BN481)</f>
        <v>1.4739812304110684</v>
      </c>
      <c r="BQ481">
        <f ca="1"/>
        <v>0.80346919054680788</v>
      </c>
      <c r="BR481">
        <f ca="1"/>
        <v>1.0641134615408971</v>
      </c>
      <c r="BS481">
        <f ca="1"/>
        <v>1.3985284842164498</v>
      </c>
      <c r="BT481">
        <f ca="1"/>
        <v>0.64075794458693103</v>
      </c>
      <c r="BU481">
        <f ca="1"/>
        <v>1.0796612653182853</v>
      </c>
      <c r="BV481">
        <f ca="1"/>
        <v>1.2658151619636002</v>
      </c>
      <c r="BW481">
        <f ca="1"/>
        <v>0.89242022099321106</v>
      </c>
      <c r="BX481">
        <f ca="1"/>
        <v>1.9516784639679563</v>
      </c>
    </row>
    <row r="482" spans="6:76" ht="24" customHeight="1">
      <c r="F482" s="7">
        <f ca="1"/>
        <v>0.50168615207433143</v>
      </c>
      <c r="G482" s="7">
        <f ca="1"/>
        <v>0.62668211104274785</v>
      </c>
      <c r="H482" s="7">
        <f ca="1"/>
        <v>0.81403320956473291</v>
      </c>
      <c r="I482" s="7">
        <f ca="1"/>
        <v>0.47450045310740085</v>
      </c>
      <c r="J482" s="7">
        <f ca="1"/>
        <v>0.51603373364830452</v>
      </c>
      <c r="K482" s="7">
        <f ca="1"/>
        <v>0.65206454346305764</v>
      </c>
      <c r="L482" s="7">
        <f ca="1"/>
        <v>0.64803060867379392</v>
      </c>
      <c r="M482" s="7">
        <f ca="1"/>
        <v>8.3052710550900244E-2</v>
      </c>
      <c r="N482" s="7">
        <f ca="1"/>
        <v>0.90476314066618024</v>
      </c>
      <c r="O482" s="7">
        <f ca="1"/>
        <v>0.53797676822357765</v>
      </c>
      <c r="P482" s="7">
        <f ca="1"/>
        <v>0.41783261687846118</v>
      </c>
      <c r="Q482" s="7">
        <f ca="1"/>
        <v>0.59125811717789833</v>
      </c>
      <c r="R482" s="7">
        <f ca="1"/>
        <v>0.62607424015093227</v>
      </c>
      <c r="S482" s="7">
        <f ca="1"/>
        <v>0.32648750266082893</v>
      </c>
      <c r="T482" s="7">
        <f ca="1"/>
        <v>0.37717118657786819</v>
      </c>
      <c r="V482">
        <f ca="1"/>
        <v>2.5097873097059979</v>
      </c>
      <c r="AG482">
        <f ca="1"/>
        <v>2.5097873097059979</v>
      </c>
      <c r="AH482">
        <f ca="1"/>
        <v>1.4306013348243738</v>
      </c>
      <c r="AI482">
        <f ca="1"/>
        <v>2.2035362783515318</v>
      </c>
      <c r="AJ482">
        <f ca="1"/>
        <v>3.0269573811152544</v>
      </c>
      <c r="AK482">
        <f ca="1"/>
        <v>1.0081020730550243</v>
      </c>
      <c r="AL482">
        <f ca="1"/>
        <v>1.2225974283602605</v>
      </c>
      <c r="AM482">
        <f ca="1"/>
        <v>2.0213206756174249</v>
      </c>
      <c r="AN482">
        <f ca="1"/>
        <v>0.63388865571786135</v>
      </c>
      <c r="AO482">
        <f ca="1"/>
        <v>3.9811579605483445</v>
      </c>
      <c r="BK482">
        <v>0.5</v>
      </c>
      <c r="BN482" s="7">
        <f ca="1"/>
        <v>0.71846073908207386</v>
      </c>
      <c r="BP482">
        <f ca="1"/>
        <v>1.830346234354371</v>
      </c>
      <c r="BQ482">
        <f ca="1"/>
        <v>1.1675400618737726</v>
      </c>
      <c r="BR482">
        <f ca="1"/>
        <v>1.3988109093197145</v>
      </c>
      <c r="BS482">
        <f ca="1"/>
        <v>1.8200159736434687</v>
      </c>
      <c r="BT482">
        <f ca="1"/>
        <v>1.0531791528269696</v>
      </c>
      <c r="BU482">
        <f ca="1"/>
        <v>1.3694535555922354</v>
      </c>
      <c r="BV482">
        <f ca="1"/>
        <v>1.5789996662111605</v>
      </c>
      <c r="BW482">
        <f ca="1"/>
        <v>0.94141406274225226</v>
      </c>
      <c r="BX482">
        <f ca="1"/>
        <v>2.1735933050317859</v>
      </c>
    </row>
    <row r="483" spans="6:76" ht="24" customHeight="1">
      <c r="F483" s="7">
        <f ca="1"/>
        <v>3.3312794408732804E-2</v>
      </c>
      <c r="G483" s="7">
        <f ca="1"/>
        <v>0.46831789209436803</v>
      </c>
      <c r="H483" s="7">
        <f ca="1"/>
        <v>0.34271882595311021</v>
      </c>
      <c r="I483" s="7">
        <f ca="1"/>
        <v>0.880924940150418</v>
      </c>
      <c r="J483" s="7">
        <f ca="1"/>
        <v>0.90412059416864521</v>
      </c>
      <c r="K483" s="7">
        <f ca="1"/>
        <v>0.11362090670338865</v>
      </c>
      <c r="L483" s="7">
        <f ca="1"/>
        <v>0.46272344830838552</v>
      </c>
      <c r="M483" s="7">
        <f ca="1"/>
        <v>0.96274077936336866</v>
      </c>
      <c r="N483" s="7">
        <f ca="1"/>
        <v>0.98301722852815865</v>
      </c>
      <c r="O483" s="7">
        <f ca="1"/>
        <v>0.22980299714052865</v>
      </c>
      <c r="P483" s="7">
        <f ca="1"/>
        <v>0.19069197615364564</v>
      </c>
      <c r="Q483" s="7">
        <f ca="1"/>
        <v>9.6441732801852309E-2</v>
      </c>
      <c r="R483" s="7">
        <f ca="1"/>
        <v>0.69130936323801517</v>
      </c>
      <c r="S483" s="7">
        <f ca="1"/>
        <v>0.51869194274318908</v>
      </c>
      <c r="T483" s="7">
        <f ca="1"/>
        <v>0.34137864445056576</v>
      </c>
      <c r="V483">
        <f ca="1"/>
        <v>1.5775419646531297</v>
      </c>
      <c r="AG483">
        <f ca="1"/>
        <v>1.5775419646531297</v>
      </c>
      <c r="AH483">
        <f ca="1"/>
        <v>0.92733657536791791</v>
      </c>
      <c r="AI483">
        <f ca="1"/>
        <v>1.596112484019145</v>
      </c>
      <c r="AJ483">
        <f ca="1"/>
        <v>1.8815230614867868</v>
      </c>
      <c r="AK483">
        <f ca="1"/>
        <v>0.72050785289449559</v>
      </c>
      <c r="AL483">
        <f ca="1"/>
        <v>1.6139227290201512</v>
      </c>
      <c r="AM483">
        <f ca="1"/>
        <v>1.5844734164701149</v>
      </c>
      <c r="AN483">
        <f ca="1"/>
        <v>0.73112456042634044</v>
      </c>
      <c r="AO483">
        <f ca="1"/>
        <v>3.1586761198624282</v>
      </c>
      <c r="BN483" s="7">
        <f ca="1"/>
        <v>0.16782007847852465</v>
      </c>
      <c r="BP483">
        <f ca="1"/>
        <v>0.97119121626501559</v>
      </c>
      <c r="BQ483">
        <f ca="1"/>
        <v>0.80098495376558809</v>
      </c>
      <c r="BR483">
        <f ca="1"/>
        <v>0.83039951128710265</v>
      </c>
      <c r="BS483">
        <f ca="1"/>
        <v>1.2661607239974244</v>
      </c>
      <c r="BT483">
        <f ca="1"/>
        <v>0.49144038628756642</v>
      </c>
      <c r="BU483">
        <f ca="1"/>
        <v>0.95674323983901544</v>
      </c>
      <c r="BV483">
        <f ca="1"/>
        <v>0.94156819207586018</v>
      </c>
      <c r="BW483">
        <f ca="1"/>
        <v>0.43224144188270569</v>
      </c>
      <c r="BX483">
        <f ca="1"/>
        <v>1.4774753643796446</v>
      </c>
    </row>
    <row r="484" spans="6:76" ht="24" customHeight="1">
      <c r="F484" s="7">
        <f ca="1"/>
        <v>0.17373021467808347</v>
      </c>
      <c r="G484" s="7">
        <f ca="1"/>
        <v>0.6267064506771074</v>
      </c>
      <c r="H484" s="7">
        <f ca="1"/>
        <v>0.9652278161865373</v>
      </c>
      <c r="I484" s="7">
        <f ca="1"/>
        <v>0.3120552457619945</v>
      </c>
      <c r="J484" s="7">
        <f ca="1"/>
        <v>0.64333068474264632</v>
      </c>
      <c r="K484" s="7">
        <f ca="1"/>
        <v>0.11210151320944473</v>
      </c>
      <c r="L484" s="7">
        <f ca="1"/>
        <v>0.82051996403732508</v>
      </c>
      <c r="M484" s="7">
        <f ca="1"/>
        <v>0.74558500942930195</v>
      </c>
      <c r="N484" s="7">
        <f ca="1"/>
        <v>0.43279350251896997</v>
      </c>
      <c r="O484" s="7">
        <f ca="1"/>
        <v>2.3422109446295636E-2</v>
      </c>
      <c r="P484" s="7">
        <f ca="1"/>
        <v>0.21103793301078477</v>
      </c>
      <c r="Q484" s="7">
        <f ca="1"/>
        <v>0.23260477121679579</v>
      </c>
      <c r="R484" s="7">
        <f ca="1"/>
        <v>0.85667634175041751</v>
      </c>
      <c r="S484" s="7">
        <f ca="1"/>
        <v>0.19753973674481862</v>
      </c>
      <c r="T484" s="7">
        <f ca="1"/>
        <v>0.47108268190386005</v>
      </c>
      <c r="V484">
        <f ca="1"/>
        <v>1.2078894721276896</v>
      </c>
      <c r="AG484">
        <f ca="1"/>
        <v>1.2078894721276896</v>
      </c>
      <c r="AH484">
        <f ca="1"/>
        <v>1.1516840932003194</v>
      </c>
      <c r="AI484">
        <f ca="1"/>
        <v>1.8996218871988482</v>
      </c>
      <c r="AJ484">
        <f ca="1"/>
        <v>2.0338465848315543</v>
      </c>
      <c r="AK484">
        <f ca="1"/>
        <v>0.76472550023471442</v>
      </c>
      <c r="AL484">
        <f ca="1"/>
        <v>1.1499316226702752</v>
      </c>
      <c r="AM484">
        <f ca="1"/>
        <v>1.3777249867966983</v>
      </c>
      <c r="AN484">
        <f ca="1"/>
        <v>0.57551403557677161</v>
      </c>
      <c r="AO484">
        <f ca="1"/>
        <v>2.8514632211037085</v>
      </c>
    </row>
    <row r="485" spans="6:76" ht="24" customHeight="1">
      <c r="F485" s="7">
        <f ca="1"/>
        <v>0.10143609332603631</v>
      </c>
      <c r="G485" s="7">
        <f ca="1"/>
        <v>0.51140753629236579</v>
      </c>
      <c r="H485" s="7">
        <f ca="1"/>
        <v>0.34833161565340065</v>
      </c>
      <c r="I485" s="7">
        <f ca="1"/>
        <v>0.40239727251408586</v>
      </c>
      <c r="J485" s="7">
        <f ca="1"/>
        <v>0.22225637601362158</v>
      </c>
      <c r="K485" s="7">
        <f ca="1"/>
        <v>6.7952717557568043E-2</v>
      </c>
      <c r="L485" s="7">
        <f ca="1"/>
        <v>0.6779517267259163</v>
      </c>
      <c r="M485" s="7">
        <f ca="1"/>
        <v>0.84653413864304383</v>
      </c>
      <c r="N485" s="7">
        <f ca="1"/>
        <v>0.34037863798190537</v>
      </c>
      <c r="O485" s="7">
        <f ca="1"/>
        <v>0.37966404391596242</v>
      </c>
      <c r="P485" s="7">
        <f ca="1"/>
        <v>0.80735123349491089</v>
      </c>
      <c r="Q485" s="7">
        <f ca="1"/>
        <v>0.32177588852311922</v>
      </c>
      <c r="R485" s="7">
        <f ca="1"/>
        <v>4.5806758661125935E-2</v>
      </c>
      <c r="S485" s="7">
        <f ca="1"/>
        <v>0.33592497022199974</v>
      </c>
      <c r="T485" s="7">
        <f ca="1"/>
        <v>0.35453379967602272</v>
      </c>
      <c r="V485">
        <f ca="1"/>
        <v>1.5715585316478138</v>
      </c>
      <c r="AG485">
        <f ca="1"/>
        <v>1.5715585316478138</v>
      </c>
      <c r="AH485">
        <f ca="1"/>
        <v>1.0557784057181756</v>
      </c>
      <c r="AI485">
        <f ca="1"/>
        <v>1.2479974169588304</v>
      </c>
      <c r="AJ485">
        <f ca="1"/>
        <v>1.9002916366158971</v>
      </c>
      <c r="AK485">
        <f ca="1"/>
        <v>0.54442021001289798</v>
      </c>
      <c r="AL485">
        <f ca="1"/>
        <v>1.345108204964423</v>
      </c>
      <c r="AM485">
        <f ca="1"/>
        <v>1.4309864254672198</v>
      </c>
      <c r="AN485">
        <f ca="1"/>
        <v>0.62943340906419576</v>
      </c>
      <c r="AO485">
        <f ca="1"/>
        <v>2.3394847238713061</v>
      </c>
      <c r="BN485" t="s">
        <v>18</v>
      </c>
      <c r="BP485" cm="1">
        <f t="array" aca="1" ref="BP485:BX487" ca="1">_xlfn.LET(_xlpm.x,_xlfn.ANCHORARRAY(BP481),1/(1+EXP(-_xlpm.x)))</f>
        <v>0.81366175937794338</v>
      </c>
      <c r="BQ485">
        <f ca="1"/>
        <v>0.69071608512106386</v>
      </c>
      <c r="BR485">
        <f ca="1"/>
        <v>0.74347584807376987</v>
      </c>
      <c r="BS485">
        <f ca="1"/>
        <v>0.80195027738996461</v>
      </c>
      <c r="BT485">
        <f ca="1"/>
        <v>0.65492477491343792</v>
      </c>
      <c r="BU485">
        <f ca="1"/>
        <v>0.74642987559176877</v>
      </c>
      <c r="BV485">
        <f ca="1"/>
        <v>0.78002553106561467</v>
      </c>
      <c r="BW485">
        <f ca="1"/>
        <v>0.70938936860180302</v>
      </c>
      <c r="BX485">
        <f ca="1"/>
        <v>0.87562954591581343</v>
      </c>
    </row>
    <row r="486" spans="6:76" ht="24" customHeight="1">
      <c r="BP486">
        <f ca="1"/>
        <v>0.86180296802446776</v>
      </c>
      <c r="BQ486">
        <f ca="1"/>
        <v>0.76270008255713906</v>
      </c>
      <c r="BR486">
        <f ca="1"/>
        <v>0.8019951300226279</v>
      </c>
      <c r="BS486">
        <f ca="1"/>
        <v>0.86056804373782436</v>
      </c>
      <c r="BT486">
        <f ca="1"/>
        <v>0.74138491632844161</v>
      </c>
      <c r="BU486">
        <f ca="1"/>
        <v>0.79729185290712923</v>
      </c>
      <c r="BV486">
        <f ca="1"/>
        <v>0.82906279966157825</v>
      </c>
      <c r="BW486">
        <f ca="1"/>
        <v>0.71938520298545805</v>
      </c>
      <c r="BX486">
        <f ca="1"/>
        <v>0.89785299078200387</v>
      </c>
    </row>
    <row r="487" spans="6:76" ht="24" customHeight="1">
      <c r="AG487" cm="1">
        <f t="array" aca="1" ref="AG487:AO495" ca="1">_xlfn.ANCHORARRAY(AG477)*P492+_xlfn.TOCOL(R492:T494)</f>
        <v>0.46791639284635289</v>
      </c>
      <c r="AH487">
        <f ca="1"/>
        <v>0.48157594326145714</v>
      </c>
      <c r="AI487">
        <f ca="1"/>
        <v>0.49690117343384066</v>
      </c>
      <c r="AJ487">
        <f ca="1"/>
        <v>0.61068655249017167</v>
      </c>
      <c r="AK487">
        <f ca="1"/>
        <v>0.27693858051851822</v>
      </c>
      <c r="AL487">
        <f ca="1"/>
        <v>0.42594118241552614</v>
      </c>
      <c r="AM487">
        <f ca="1"/>
        <v>0.44936502021695135</v>
      </c>
      <c r="AN487">
        <f ca="1"/>
        <v>0.16096261626467423</v>
      </c>
      <c r="AO487">
        <f ca="1"/>
        <v>0.81658414185791584</v>
      </c>
      <c r="BP487">
        <f ca="1"/>
        <v>0.72535686877628169</v>
      </c>
      <c r="BQ487">
        <f ca="1"/>
        <v>0.69018513285534022</v>
      </c>
      <c r="BR487">
        <f ca="1"/>
        <v>0.69643939775737951</v>
      </c>
      <c r="BS487">
        <f ca="1"/>
        <v>0.78008481883211489</v>
      </c>
      <c r="BT487">
        <f ca="1"/>
        <v>0.62044569179281495</v>
      </c>
      <c r="BU487">
        <f ca="1"/>
        <v>0.72246927389447479</v>
      </c>
      <c r="BV487">
        <f ca="1"/>
        <v>0.7194163160423791</v>
      </c>
      <c r="BW487">
        <f ca="1"/>
        <v>0.60640877684618377</v>
      </c>
      <c r="BX487">
        <f ca="1"/>
        <v>0.81419094652949242</v>
      </c>
    </row>
    <row r="488" spans="6:76" ht="24" customHeight="1">
      <c r="V488" cm="1">
        <f t="array" aca="1" ref="V488:X490" ca="1">_xlfn.WRAPROWS(V477:V485,3)</f>
        <v>1.2263879761545098</v>
      </c>
      <c r="W488">
        <f ca="1"/>
        <v>2.2731135622501939</v>
      </c>
      <c r="X488">
        <f ca="1"/>
        <v>1.7884397284921563</v>
      </c>
      <c r="AG488">
        <f ca="1"/>
        <v>1.6819340686750581</v>
      </c>
      <c r="AH488">
        <f ca="1"/>
        <v>1.5659335612334271</v>
      </c>
      <c r="AI488">
        <f ca="1"/>
        <v>1.5540467341740236</v>
      </c>
      <c r="AJ488">
        <f ca="1"/>
        <v>1.8381347674024648</v>
      </c>
      <c r="AK488">
        <f ca="1"/>
        <v>1.2464246584129068</v>
      </c>
      <c r="AL488">
        <f ca="1"/>
        <v>1.4368139210982771</v>
      </c>
      <c r="AM488">
        <f ca="1"/>
        <v>1.6666954158978009</v>
      </c>
      <c r="AN488">
        <f ca="1"/>
        <v>1.2216585916835467</v>
      </c>
      <c r="AO488">
        <f ca="1"/>
        <v>2.050187767737353</v>
      </c>
    </row>
    <row r="489" spans="6:76" ht="24" customHeight="1">
      <c r="V489">
        <f ca="1"/>
        <v>2.2251470074977577</v>
      </c>
      <c r="W489">
        <f ca="1"/>
        <v>2.5307790791072371</v>
      </c>
      <c r="X489">
        <f ca="1"/>
        <v>2.5097873097059979</v>
      </c>
      <c r="AG489">
        <f ca="1"/>
        <v>0.73653191854764688</v>
      </c>
      <c r="AH489">
        <f ca="1"/>
        <v>0.58546628452756666</v>
      </c>
      <c r="AI489">
        <f ca="1"/>
        <v>0.66408398976087823</v>
      </c>
      <c r="AJ489">
        <f ca="1"/>
        <v>0.73067480844602017</v>
      </c>
      <c r="AK489">
        <f ca="1"/>
        <v>0.36658718300544596</v>
      </c>
      <c r="AL489">
        <f ca="1"/>
        <v>0.68350592745556915</v>
      </c>
      <c r="AM489">
        <f ca="1"/>
        <v>0.55045712537973701</v>
      </c>
      <c r="AN489">
        <f ca="1"/>
        <v>0.3168665172969406</v>
      </c>
      <c r="AO489">
        <f ca="1"/>
        <v>1.1781619370634264</v>
      </c>
      <c r="BP489" s="1" cm="1">
        <f t="array" aca="1" ref="BP489:BX491" ca="1">_xlfn.ANCHORARRAY(BP485)</f>
        <v>0.81366175937794338</v>
      </c>
      <c r="BQ489" s="1">
        <f ca="1"/>
        <v>0.69071608512106386</v>
      </c>
      <c r="BR489" s="1">
        <f ca="1"/>
        <v>0.74347584807376987</v>
      </c>
      <c r="BS489" s="1">
        <f ca="1"/>
        <v>0.80195027738996461</v>
      </c>
      <c r="BT489" s="1">
        <f ca="1"/>
        <v>0.65492477491343792</v>
      </c>
      <c r="BU489" s="1">
        <f ca="1"/>
        <v>0.74642987559176877</v>
      </c>
      <c r="BV489" s="1">
        <f ca="1"/>
        <v>0.78002553106561467</v>
      </c>
      <c r="BW489" s="1">
        <f ca="1"/>
        <v>0.70938936860180302</v>
      </c>
      <c r="BX489" s="1">
        <f ca="1"/>
        <v>0.87562954591581343</v>
      </c>
    </row>
    <row r="490" spans="6:76" ht="24" customHeight="1">
      <c r="V490">
        <f ca="1"/>
        <v>1.5775419646531297</v>
      </c>
      <c r="W490">
        <f ca="1"/>
        <v>1.2078894721276896</v>
      </c>
      <c r="X490">
        <f ca="1"/>
        <v>1.5715585316478138</v>
      </c>
      <c r="AG490">
        <f ca="1"/>
        <v>1.0695008952438076</v>
      </c>
      <c r="AH490">
        <f ca="1"/>
        <v>0.94987640634567061</v>
      </c>
      <c r="AI490">
        <f ca="1"/>
        <v>1.149706678325797</v>
      </c>
      <c r="AJ490">
        <f ca="1"/>
        <v>0.99946297092912439</v>
      </c>
      <c r="AK490">
        <f ca="1"/>
        <v>0.68899403512403135</v>
      </c>
      <c r="AL490">
        <f ca="1"/>
        <v>0.86233049886603508</v>
      </c>
      <c r="AM490">
        <f ca="1"/>
        <v>1.1011260002284846</v>
      </c>
      <c r="AN490">
        <f ca="1"/>
        <v>0.44716059484438914</v>
      </c>
      <c r="AO490">
        <f ca="1"/>
        <v>1.1736163240273756</v>
      </c>
      <c r="BP490" s="2">
        <f ca="1"/>
        <v>0.86180296802446776</v>
      </c>
      <c r="BQ490" s="2">
        <f ca="1"/>
        <v>0.76270008255713906</v>
      </c>
      <c r="BR490" s="2">
        <f ca="1"/>
        <v>0.8019951300226279</v>
      </c>
      <c r="BS490" s="2">
        <f ca="1"/>
        <v>0.86056804373782436</v>
      </c>
      <c r="BT490" s="2">
        <f ca="1"/>
        <v>0.74138491632844161</v>
      </c>
      <c r="BU490" s="2">
        <f ca="1"/>
        <v>0.79729185290712923</v>
      </c>
      <c r="BV490" s="2">
        <f ca="1"/>
        <v>0.82906279966157825</v>
      </c>
      <c r="BW490" s="2">
        <f ca="1"/>
        <v>0.71938520298545805</v>
      </c>
      <c r="BX490" s="2">
        <f ca="1"/>
        <v>0.89785299078200387</v>
      </c>
    </row>
    <row r="491" spans="6:76" ht="24" customHeight="1">
      <c r="P491" t="s">
        <v>29</v>
      </c>
      <c r="AG491">
        <f ca="1"/>
        <v>0.85923372373217111</v>
      </c>
      <c r="AH491">
        <f ca="1"/>
        <v>0.63897383529130491</v>
      </c>
      <c r="AI491">
        <f ca="1"/>
        <v>0.7763617646308687</v>
      </c>
      <c r="AJ491">
        <f ca="1"/>
        <v>0.94695362182087117</v>
      </c>
      <c r="AK491">
        <f ca="1"/>
        <v>0.40115062777500277</v>
      </c>
      <c r="AL491">
        <f ca="1"/>
        <v>0.66665979153472443</v>
      </c>
      <c r="AM491">
        <f ca="1"/>
        <v>0.70951931360523424</v>
      </c>
      <c r="AN491">
        <f ca="1"/>
        <v>0.21914918929734825</v>
      </c>
      <c r="AO491">
        <f ca="1"/>
        <v>1.1517835414548718</v>
      </c>
      <c r="BP491" s="3">
        <f ca="1"/>
        <v>0.72535686877628169</v>
      </c>
      <c r="BQ491" s="3">
        <f ca="1"/>
        <v>0.69018513285534022</v>
      </c>
      <c r="BR491" s="3">
        <f ca="1"/>
        <v>0.69643939775737951</v>
      </c>
      <c r="BS491" s="3">
        <f ca="1"/>
        <v>0.78008481883211489</v>
      </c>
      <c r="BT491" s="3">
        <f ca="1"/>
        <v>0.62044569179281495</v>
      </c>
      <c r="BU491" s="3">
        <f ca="1"/>
        <v>0.72246927389447479</v>
      </c>
      <c r="BV491" s="3">
        <f ca="1"/>
        <v>0.7194163160423791</v>
      </c>
      <c r="BW491" s="3">
        <f ca="1"/>
        <v>0.60640877684618377</v>
      </c>
      <c r="BX491" s="3">
        <f ca="1"/>
        <v>0.81419094652949242</v>
      </c>
    </row>
    <row r="492" spans="6:76" ht="24" customHeight="1">
      <c r="P492">
        <v>0.3</v>
      </c>
      <c r="R492" s="7">
        <v>0.1</v>
      </c>
      <c r="S492" s="7">
        <v>1</v>
      </c>
      <c r="T492" s="7">
        <v>0.2</v>
      </c>
      <c r="V492" cm="1">
        <f t="array" aca="1" ref="V492:X494" ca="1">_xlfn.ANCHORARRAY(V488)*P492+R492:T494</f>
        <v>0.46791639284635289</v>
      </c>
      <c r="W492">
        <f ca="1"/>
        <v>1.6819340686750581</v>
      </c>
      <c r="X492">
        <f ca="1"/>
        <v>0.73653191854764688</v>
      </c>
      <c r="Z492" cm="1">
        <f t="array" aca="1" ref="Z492:Z494" ca="1">_xlfn.BYROW(_xlfn.ANCHORARRAY(V492),_xleta.SUM)</f>
        <v>2.8863823800690582</v>
      </c>
      <c r="AG492">
        <f ca="1"/>
        <v>1.2529361929117995</v>
      </c>
      <c r="AH492">
        <f ca="1"/>
        <v>0.92918040044731209</v>
      </c>
      <c r="AI492">
        <f ca="1"/>
        <v>1.1610608835054594</v>
      </c>
      <c r="AJ492">
        <f ca="1"/>
        <v>1.4080872143345764</v>
      </c>
      <c r="AK492">
        <f ca="1"/>
        <v>0.80243062191650727</v>
      </c>
      <c r="AL492">
        <f ca="1"/>
        <v>0.8667792285080782</v>
      </c>
      <c r="AM492">
        <f ca="1"/>
        <v>1.1063962026852274</v>
      </c>
      <c r="AN492">
        <f ca="1"/>
        <v>0.6901665967153584</v>
      </c>
      <c r="AO492">
        <f ca="1"/>
        <v>1.6943473881645033</v>
      </c>
    </row>
    <row r="493" spans="6:76" ht="24" customHeight="1">
      <c r="R493" s="7">
        <v>0.40195679299448028</v>
      </c>
      <c r="S493" s="7">
        <v>0.1</v>
      </c>
      <c r="T493" s="7">
        <v>0.5</v>
      </c>
      <c r="V493">
        <f ca="1"/>
        <v>1.0695008952438076</v>
      </c>
      <c r="W493">
        <f ca="1"/>
        <v>0.85923372373217111</v>
      </c>
      <c r="X493">
        <f ca="1"/>
        <v>1.2529361929117995</v>
      </c>
      <c r="Z493">
        <f ca="1"/>
        <v>3.1816708118877783</v>
      </c>
      <c r="AG493">
        <f ca="1"/>
        <v>0.57326258939593888</v>
      </c>
      <c r="AH493">
        <f ca="1"/>
        <v>0.37820097261037533</v>
      </c>
      <c r="AI493">
        <f ca="1"/>
        <v>0.57883374520574349</v>
      </c>
      <c r="AJ493">
        <f ca="1"/>
        <v>0.66445691844603605</v>
      </c>
      <c r="AK493">
        <f ca="1"/>
        <v>0.31615235586834867</v>
      </c>
      <c r="AL493">
        <f ca="1"/>
        <v>0.58417681870604532</v>
      </c>
      <c r="AM493">
        <f ca="1"/>
        <v>0.57534202494103448</v>
      </c>
      <c r="AN493">
        <f ca="1"/>
        <v>0.31933736812790214</v>
      </c>
      <c r="AO493">
        <f ca="1"/>
        <v>1.0476028359587284</v>
      </c>
      <c r="BP493" s="1" cm="1">
        <f t="array" aca="1" ref="BP493:BX497" ca="1">BN481*BP461:BX465+BN482*BP466:BX470+BN483*BP471:BX475</f>
        <v>0.52254809159754601</v>
      </c>
      <c r="BQ493" s="1">
        <f ca="1"/>
        <v>0.41458044320564402</v>
      </c>
      <c r="BR493" s="1">
        <f ca="1"/>
        <v>7.071681889704271E-3</v>
      </c>
      <c r="BS493" s="1">
        <f ca="1"/>
        <v>0.82244706100961762</v>
      </c>
      <c r="BT493" s="1">
        <f ca="1"/>
        <v>7.6892093567288794E-2</v>
      </c>
      <c r="BU493" s="1">
        <f ca="1"/>
        <v>0.48309819457200548</v>
      </c>
      <c r="BV493" s="1">
        <f ca="1"/>
        <v>5.9792982338288544E-2</v>
      </c>
      <c r="BW493" s="1">
        <f ca="1"/>
        <v>0.12501996739012528</v>
      </c>
      <c r="BX493" s="1">
        <f ca="1"/>
        <v>0.84366100462503757</v>
      </c>
    </row>
    <row r="494" spans="6:76" ht="24" customHeight="1">
      <c r="R494" s="7">
        <v>0.1</v>
      </c>
      <c r="S494" s="7">
        <v>0.35669431664622531</v>
      </c>
      <c r="T494" s="7">
        <v>0.58818747205299382</v>
      </c>
      <c r="V494">
        <f ca="1"/>
        <v>0.57326258939593888</v>
      </c>
      <c r="W494">
        <f ca="1"/>
        <v>0.7190611582845321</v>
      </c>
      <c r="X494">
        <f ca="1"/>
        <v>1.0596550315473379</v>
      </c>
      <c r="Z494">
        <f ca="1"/>
        <v>2.3519787792278088</v>
      </c>
      <c r="AG494">
        <f ca="1"/>
        <v>0.7190611582845321</v>
      </c>
      <c r="AH494">
        <f ca="1"/>
        <v>0.70219954460632117</v>
      </c>
      <c r="AI494">
        <f ca="1"/>
        <v>0.92658088280587969</v>
      </c>
      <c r="AJ494">
        <f ca="1"/>
        <v>0.96684829209569156</v>
      </c>
      <c r="AK494">
        <f ca="1"/>
        <v>0.58611196671663968</v>
      </c>
      <c r="AL494">
        <f ca="1"/>
        <v>0.70167380344730779</v>
      </c>
      <c r="AM494">
        <f ca="1"/>
        <v>0.77001181268523478</v>
      </c>
      <c r="AN494">
        <f ca="1"/>
        <v>0.52934852731925675</v>
      </c>
      <c r="AO494">
        <f ca="1"/>
        <v>1.2121332829773377</v>
      </c>
      <c r="BP494" s="2">
        <f ca="1"/>
        <v>0.17189326612941197</v>
      </c>
      <c r="BQ494" s="2">
        <f ca="1"/>
        <v>0.31260793194922554</v>
      </c>
      <c r="BR494" s="2">
        <f ca="1"/>
        <v>0.39187199733115086</v>
      </c>
      <c r="BS494" s="2">
        <f ca="1"/>
        <v>0.85935140090975348</v>
      </c>
      <c r="BT494" s="2">
        <f ca="1"/>
        <v>0.23244342990901698</v>
      </c>
      <c r="BU494" s="2">
        <f ca="1"/>
        <v>2.4447644589116219E-2</v>
      </c>
      <c r="BV494" s="2">
        <f ca="1"/>
        <v>0.41076803409872648</v>
      </c>
      <c r="BW494" s="2">
        <f ca="1"/>
        <v>0</v>
      </c>
      <c r="BX494" s="2">
        <f ca="1"/>
        <v>0.51625736336617911</v>
      </c>
    </row>
    <row r="495" spans="6:76" ht="24" customHeight="1">
      <c r="AG495">
        <f ca="1"/>
        <v>1.0596550315473379</v>
      </c>
      <c r="AH495">
        <f ca="1"/>
        <v>0.90492099376844648</v>
      </c>
      <c r="AI495">
        <f ca="1"/>
        <v>0.96258669714064293</v>
      </c>
      <c r="AJ495">
        <f ca="1"/>
        <v>1.1582749630377629</v>
      </c>
      <c r="AK495">
        <f ca="1"/>
        <v>0.75151353505686325</v>
      </c>
      <c r="AL495">
        <f ca="1"/>
        <v>0.99171993354232069</v>
      </c>
      <c r="AM495">
        <f ca="1"/>
        <v>1.0174833996931598</v>
      </c>
      <c r="AN495">
        <f ca="1"/>
        <v>0.77701749477225257</v>
      </c>
      <c r="AO495">
        <f ca="1"/>
        <v>1.2900328892143857</v>
      </c>
      <c r="BP495" s="2">
        <f ca="1"/>
        <v>0</v>
      </c>
      <c r="BQ495" s="2">
        <f ca="1"/>
        <v>0.20805108771351766</v>
      </c>
      <c r="BR495" s="2">
        <f ca="1"/>
        <v>0.26121407821710102</v>
      </c>
      <c r="BS495" s="2">
        <f ca="1"/>
        <v>6.9322061222855141E-2</v>
      </c>
      <c r="BT495" s="2">
        <f ca="1"/>
        <v>5.0467122953920453E-2</v>
      </c>
      <c r="BU495" s="2">
        <f ca="1"/>
        <v>0.60126542206567901</v>
      </c>
      <c r="BV495" s="2">
        <f ca="1"/>
        <v>4.0119325404135353E-3</v>
      </c>
      <c r="BW495" s="2">
        <f ca="1"/>
        <v>0</v>
      </c>
      <c r="BX495" s="2">
        <f ca="1"/>
        <v>0.30241849740410598</v>
      </c>
    </row>
    <row r="496" spans="6:76" ht="24" customHeight="1">
      <c r="V496" cm="1">
        <f t="array" aca="1" ref="V496:X496" ca="1">_xlfn.BYCOL(_xlfn.ANCHORARRAY(V492),_xleta.SUM)</f>
        <v>2.1106798774860995</v>
      </c>
      <c r="W496">
        <f ca="1"/>
        <v>3.2602289506917614</v>
      </c>
      <c r="X496">
        <f ca="1"/>
        <v>3.049123143006784</v>
      </c>
      <c r="BP496" s="2">
        <f ca="1"/>
        <v>0.58669513022100128</v>
      </c>
      <c r="BQ496" s="2">
        <f ca="1"/>
        <v>0</v>
      </c>
      <c r="BR496" s="2">
        <f ca="1"/>
        <v>0.52185700453537931</v>
      </c>
      <c r="BS496" s="2">
        <f ca="1"/>
        <v>0.25019553890101698</v>
      </c>
      <c r="BT496" s="2">
        <f ca="1"/>
        <v>0.2128937351219238</v>
      </c>
      <c r="BU496" s="2">
        <f ca="1"/>
        <v>0.25246938303364969</v>
      </c>
      <c r="BV496" s="2">
        <f ca="1"/>
        <v>0.39719925182987426</v>
      </c>
      <c r="BW496" s="2">
        <f ca="1"/>
        <v>0</v>
      </c>
      <c r="BX496" s="2">
        <f ca="1"/>
        <v>0.66477513183152426</v>
      </c>
    </row>
    <row r="497" spans="22:76" ht="24" customHeight="1">
      <c r="AG497" cm="1">
        <f t="array" aca="1" ref="AG497:AO505" ca="1">EXP(_xlfn.ANCHORARRAY(AG487))</f>
        <v>1.596663904582039</v>
      </c>
      <c r="AH497">
        <f ca="1"/>
        <v>1.6186232516505801</v>
      </c>
      <c r="AI497">
        <f ca="1"/>
        <v>1.6436200773651164</v>
      </c>
      <c r="AJ497">
        <f ca="1"/>
        <v>1.8416953853883886</v>
      </c>
      <c r="AK497">
        <f ca="1"/>
        <v>1.3190853510085911</v>
      </c>
      <c r="AL497">
        <f ca="1"/>
        <v>1.5310307209561269</v>
      </c>
      <c r="AM497">
        <f ca="1"/>
        <v>1.5673166550631707</v>
      </c>
      <c r="AN497">
        <f ca="1"/>
        <v>1.1746410555227329</v>
      </c>
      <c r="AO497">
        <f ca="1"/>
        <v>2.2627573633009122</v>
      </c>
      <c r="BP497" s="3">
        <f ca="1"/>
        <v>0.39347174985246264</v>
      </c>
      <c r="BQ497" s="3">
        <f ca="1"/>
        <v>0.13033488422011505</v>
      </c>
      <c r="BR497" s="3">
        <f ca="1"/>
        <v>7.5926080745013738E-2</v>
      </c>
      <c r="BS497" s="3">
        <f ca="1"/>
        <v>0.41773146595627464</v>
      </c>
      <c r="BT497" s="3">
        <f ca="1"/>
        <v>3.7733892034523653E-2</v>
      </c>
      <c r="BU497" s="3">
        <f ca="1"/>
        <v>0.15407013857064711</v>
      </c>
      <c r="BV497" s="3">
        <f ca="1"/>
        <v>0.18750235134262327</v>
      </c>
      <c r="BW497" s="3">
        <f ca="1"/>
        <v>0.24530879281039808</v>
      </c>
      <c r="BX497" s="3">
        <f ca="1"/>
        <v>0.58595071799372989</v>
      </c>
    </row>
    <row r="498" spans="22:76" ht="24" customHeight="1">
      <c r="V498" cm="1">
        <f t="array" aca="1" ref="V498:X500" ca="1">_xlfn.ANCHORARRAY(V492)/_xlfn.ANCHORARRAY(V496)</f>
        <v>0.22168989141245768</v>
      </c>
      <c r="W498">
        <f ca="1"/>
        <v>0.5158944645032314</v>
      </c>
      <c r="X498">
        <f ca="1"/>
        <v>0.24155532066223545</v>
      </c>
      <c r="Z498" s="16" cm="1">
        <f t="array" aca="1" ref="Z498:Z500" ca="1">_xlfn.BYROW(_xlfn.ANCHORARRAY(V498),_xleta.SUM)</f>
        <v>0.97913967657792456</v>
      </c>
      <c r="AG498">
        <f ca="1"/>
        <v>5.3759433665801355</v>
      </c>
      <c r="AH498">
        <f ca="1"/>
        <v>4.7871419405942826</v>
      </c>
      <c r="AI498">
        <f ca="1"/>
        <v>4.7305748797323002</v>
      </c>
      <c r="AJ498">
        <f ca="1"/>
        <v>6.2848046989236677</v>
      </c>
      <c r="AK498">
        <f ca="1"/>
        <v>3.4778860712142987</v>
      </c>
      <c r="AL498">
        <f ca="1"/>
        <v>4.2072697467204954</v>
      </c>
      <c r="AM498">
        <f ca="1"/>
        <v>5.2946422651762459</v>
      </c>
      <c r="AN498">
        <f ca="1"/>
        <v>3.3928103565557981</v>
      </c>
      <c r="AO498">
        <f ca="1"/>
        <v>7.7693598044654255</v>
      </c>
    </row>
    <row r="499" spans="22:76" ht="24" customHeight="1">
      <c r="V499">
        <f ca="1"/>
        <v>0.50670919197733766</v>
      </c>
      <c r="W499">
        <f ca="1"/>
        <v>0.2635501177148486</v>
      </c>
      <c r="X499">
        <f ca="1"/>
        <v>0.41091688795364989</v>
      </c>
      <c r="Z499" s="16">
        <f ca="1"/>
        <v>1.1811761976458361</v>
      </c>
      <c r="AG499">
        <f ca="1"/>
        <v>2.0886792293780974</v>
      </c>
      <c r="AH499">
        <f ca="1"/>
        <v>1.7958281573285599</v>
      </c>
      <c r="AI499">
        <f ca="1"/>
        <v>1.9427101636468356</v>
      </c>
      <c r="AJ499">
        <f ca="1"/>
        <v>2.0764813621616787</v>
      </c>
      <c r="AK499">
        <f ca="1"/>
        <v>1.4428021828977409</v>
      </c>
      <c r="AL499">
        <f ca="1"/>
        <v>1.9808101495410706</v>
      </c>
      <c r="AM499">
        <f ca="1"/>
        <v>1.7340455129323717</v>
      </c>
      <c r="AN499">
        <f ca="1"/>
        <v>1.3728193120621337</v>
      </c>
      <c r="AO499">
        <f ca="1"/>
        <v>3.2483979523304756</v>
      </c>
    </row>
    <row r="500" spans="22:76" ht="24" customHeight="1">
      <c r="V500">
        <f ca="1"/>
        <v>0.27160091661020458</v>
      </c>
      <c r="W500">
        <f ca="1"/>
        <v>0.22055541778192</v>
      </c>
      <c r="X500">
        <f ca="1"/>
        <v>0.34752779138411471</v>
      </c>
      <c r="Z500" s="16">
        <f ca="1"/>
        <v>0.8396841257762393</v>
      </c>
      <c r="AG500">
        <f ca="1"/>
        <v>2.9139247832606667</v>
      </c>
      <c r="AH500">
        <f ca="1"/>
        <v>2.5853901017580667</v>
      </c>
      <c r="AI500">
        <f ca="1"/>
        <v>3.157266679106435</v>
      </c>
      <c r="AJ500">
        <f ca="1"/>
        <v>2.7168224240007142</v>
      </c>
      <c r="AK500">
        <f ca="1"/>
        <v>1.9917109338912846</v>
      </c>
      <c r="AL500">
        <f ca="1"/>
        <v>2.3686744594395885</v>
      </c>
      <c r="AM500">
        <f ca="1"/>
        <v>3.0075506207465836</v>
      </c>
      <c r="AN500">
        <f ca="1"/>
        <v>1.5638654278459327</v>
      </c>
      <c r="AO500">
        <f ca="1"/>
        <v>3.233665501629611</v>
      </c>
      <c r="BJ500" s="7" cm="1">
        <f t="array" aca="1" ref="BJ500:BN508" ca="1">_xlfn.RANDARRAY(3*3,ROWS(_xlfn.ANCHORARRAY(BP493)))</f>
        <v>7.1398648967742284E-2</v>
      </c>
      <c r="BK500" s="7">
        <f ca="1"/>
        <v>0.62375011235739586</v>
      </c>
      <c r="BL500" s="7">
        <f ca="1"/>
        <v>0.22002438556041826</v>
      </c>
      <c r="BM500" s="7">
        <f ca="1"/>
        <v>0.44180759068600506</v>
      </c>
      <c r="BN500" s="7">
        <f ca="1"/>
        <v>0.90683815947023105</v>
      </c>
      <c r="BP500" s="8" cm="1">
        <f t="array" aca="1" ref="BP500:BX508" ca="1">MMULT(_xlfn.ANCHORARRAY(BJ500),_xlfn.ANCHORARRAY(BP493))</f>
        <v>0.76054923121232831</v>
      </c>
      <c r="BQ500" s="9">
        <f ca="1"/>
        <v>0.38855867547075157</v>
      </c>
      <c r="BR500" s="9">
        <f ca="1"/>
        <v>0.60182163113231357</v>
      </c>
      <c r="BS500" s="9">
        <f ca="1"/>
        <v>1.0993478077846963</v>
      </c>
      <c r="BT500" s="9">
        <f ca="1"/>
        <v>0.28985720622702943</v>
      </c>
      <c r="BU500" s="9">
        <f ca="1"/>
        <v>0.43329440525006618</v>
      </c>
      <c r="BV500" s="9">
        <f ca="1"/>
        <v>0.60688840023185309</v>
      </c>
      <c r="BW500" s="9">
        <f ca="1"/>
        <v>0.2313816309396918</v>
      </c>
      <c r="BX500" s="10">
        <f ca="1"/>
        <v>1.2738564583835781</v>
      </c>
    </row>
    <row r="501" spans="22:76" ht="24" customHeight="1">
      <c r="AG501">
        <f ca="1"/>
        <v>2.3613505533715049</v>
      </c>
      <c r="AH501">
        <f ca="1"/>
        <v>1.8945357757249031</v>
      </c>
      <c r="AI501">
        <f ca="1"/>
        <v>2.1735499762603241</v>
      </c>
      <c r="AJ501">
        <f ca="1"/>
        <v>2.5778445958935272</v>
      </c>
      <c r="AK501">
        <f ca="1"/>
        <v>1.4935422204990716</v>
      </c>
      <c r="AL501">
        <f ca="1"/>
        <v>1.9477206501721873</v>
      </c>
      <c r="AM501">
        <f ca="1"/>
        <v>2.0330137816704097</v>
      </c>
      <c r="AN501">
        <f ca="1"/>
        <v>1.2450170060450889</v>
      </c>
      <c r="AO501">
        <f ca="1"/>
        <v>3.1638307037919344</v>
      </c>
      <c r="BJ501" s="7">
        <f ca="1"/>
        <v>0.86704883037380731</v>
      </c>
      <c r="BK501" s="7">
        <f ca="1"/>
        <v>0.86985606386057546</v>
      </c>
      <c r="BL501" s="7">
        <f ca="1"/>
        <v>0.55610069500311843</v>
      </c>
      <c r="BM501" s="7">
        <f ca="1"/>
        <v>0.87094939077618871</v>
      </c>
      <c r="BN501" s="7">
        <f ca="1"/>
        <v>0.78792987639058665</v>
      </c>
      <c r="BP501" s="11">
        <f ca="1"/>
        <v>1.4236070249749626</v>
      </c>
      <c r="BQ501">
        <f ca="1"/>
        <v>0.84977749728083485</v>
      </c>
      <c r="BR501">
        <f ca="1"/>
        <v>1.006600524676645</v>
      </c>
      <c r="BS501">
        <f ca="1"/>
        <v>2.0462145903024194</v>
      </c>
      <c r="BT501">
        <f ca="1"/>
        <v>0.51207765874390787</v>
      </c>
      <c r="BU501">
        <f ca="1"/>
        <v>1.1157842961266216</v>
      </c>
      <c r="BV501">
        <f ca="1"/>
        <v>0.9050626900901938</v>
      </c>
      <c r="BW501">
        <f ca="1"/>
        <v>0.30168454329560063</v>
      </c>
      <c r="BX501" s="12">
        <f ca="1"/>
        <v>2.3894135947886972</v>
      </c>
    </row>
    <row r="502" spans="22:76" ht="24" customHeight="1">
      <c r="V502" s="16" cm="1">
        <f t="array" aca="1" ref="V502:X502" ca="1">_xlfn.BYCOL(_xlfn.ANCHORARRAY(V498),_xleta.SUM)</f>
        <v>0.99999999999999989</v>
      </c>
      <c r="W502" s="16">
        <f ca="1"/>
        <v>1</v>
      </c>
      <c r="X502" s="16">
        <f ca="1"/>
        <v>1</v>
      </c>
      <c r="AG502">
        <f ca="1"/>
        <v>3.5006063379722647</v>
      </c>
      <c r="AH502">
        <f ca="1"/>
        <v>2.5324327460670166</v>
      </c>
      <c r="AI502">
        <f ca="1"/>
        <v>3.193319219440478</v>
      </c>
      <c r="AJ502">
        <f ca="1"/>
        <v>4.0881282075491869</v>
      </c>
      <c r="AK502">
        <f ca="1"/>
        <v>2.2309569565411271</v>
      </c>
      <c r="AL502">
        <f ca="1"/>
        <v>2.3792355259664975</v>
      </c>
      <c r="AM502">
        <f ca="1"/>
        <v>3.0234428622981091</v>
      </c>
      <c r="AN502">
        <f ca="1"/>
        <v>1.9940477073710707</v>
      </c>
      <c r="AO502">
        <f ca="1"/>
        <v>5.4430925792091367</v>
      </c>
      <c r="BJ502" s="7">
        <f ca="1"/>
        <v>0.85824377065501101</v>
      </c>
      <c r="BK502" s="7">
        <f ca="1"/>
        <v>0.16657819835942544</v>
      </c>
      <c r="BL502" s="7">
        <f ca="1"/>
        <v>3.3729703196778482E-2</v>
      </c>
      <c r="BM502" s="7">
        <f ca="1"/>
        <v>9.4168537233601413E-2</v>
      </c>
      <c r="BN502" s="7">
        <f ca="1"/>
        <v>0.60379112314381889</v>
      </c>
      <c r="BP502" s="13">
        <f ca="1"/>
        <v>0.76993028704698396</v>
      </c>
      <c r="BQ502" s="14">
        <f ca="1"/>
        <v>0.4935972964800322</v>
      </c>
      <c r="BR502" s="14">
        <f ca="1"/>
        <v>0.17514323589305383</v>
      </c>
      <c r="BS502" s="14">
        <f ca="1"/>
        <v>1.1271305863991914</v>
      </c>
      <c r="BT502" s="14">
        <f ca="1"/>
        <v>0.14924568984465034</v>
      </c>
      <c r="BU502" s="14">
        <f ca="1"/>
        <v>0.55576981943169723</v>
      </c>
      <c r="BV502" s="14">
        <f ca="1"/>
        <v>0.27049320282273337</v>
      </c>
      <c r="BW502" s="14">
        <f ca="1"/>
        <v>0.25541287974811228</v>
      </c>
      <c r="BX502" s="15">
        <f ca="1"/>
        <v>1.2366572532801789</v>
      </c>
    </row>
    <row r="503" spans="22:76" ht="24" customHeight="1">
      <c r="AG503">
        <f ca="1"/>
        <v>1.7740456021582804</v>
      </c>
      <c r="AH503">
        <f ca="1"/>
        <v>1.4596562643297133</v>
      </c>
      <c r="AI503">
        <f ca="1"/>
        <v>1.7839566690357338</v>
      </c>
      <c r="AJ503">
        <f ca="1"/>
        <v>1.9434347911025911</v>
      </c>
      <c r="AK503">
        <f ca="1"/>
        <v>1.3718392474648542</v>
      </c>
      <c r="AL503">
        <f ca="1"/>
        <v>1.7935139906384365</v>
      </c>
      <c r="AM503">
        <f ca="1"/>
        <v>1.7777384538348751</v>
      </c>
      <c r="AN503">
        <f ca="1"/>
        <v>1.3762155378559058</v>
      </c>
      <c r="AO503">
        <f ca="1"/>
        <v>2.8508090636003356</v>
      </c>
      <c r="BJ503" s="7">
        <f ca="1"/>
        <v>0.99838798714497523</v>
      </c>
      <c r="BK503" s="7">
        <f ca="1"/>
        <v>0.36708441274542825</v>
      </c>
      <c r="BL503" s="7">
        <f ca="1"/>
        <v>0.89166755674017772</v>
      </c>
      <c r="BM503" s="7">
        <f ca="1"/>
        <v>0.45985870729086376</v>
      </c>
      <c r="BN503" s="7">
        <f ca="1"/>
        <v>0.99356755408843034</v>
      </c>
      <c r="BP503" s="8">
        <f ca="1"/>
        <v>1.2455427042696117</v>
      </c>
      <c r="BQ503" s="9">
        <f ca="1"/>
        <v>0.84367455050652596</v>
      </c>
      <c r="BR503" s="9">
        <f ca="1"/>
        <v>0.69924468100292103</v>
      </c>
      <c r="BS503" s="9">
        <f ca="1"/>
        <v>1.7284870310633</v>
      </c>
      <c r="BT503" s="9">
        <f ca="1"/>
        <v>0.34248660734719155</v>
      </c>
      <c r="BU503" s="9">
        <f ca="1"/>
        <v>1.2966019880248558</v>
      </c>
      <c r="BV503" s="9">
        <f ca="1"/>
        <v>0.58301223503266486</v>
      </c>
      <c r="BW503" s="9">
        <f ca="1"/>
        <v>0.36854929086457033</v>
      </c>
      <c r="BX503" s="10">
        <f ca="1"/>
        <v>2.1893520604469789</v>
      </c>
    </row>
    <row r="504" spans="22:76" ht="24" customHeight="1">
      <c r="V504" cm="1">
        <f t="array" aca="1" ref="V504:X506" ca="1">_xlfn.ANCHORARRAY(V498)/_xlfn.ANCHORARRAY(Z498)</f>
        <v>0.226412938537288</v>
      </c>
      <c r="W504">
        <f ca="1"/>
        <v>0.52688546572463824</v>
      </c>
      <c r="X504">
        <f ca="1"/>
        <v>0.24670159573807379</v>
      </c>
      <c r="Z504" s="16" cm="1">
        <f t="array" aca="1" ref="Z504:Z506" ca="1">_xlfn.BYROW(_xlfn.ANCHORARRAY(V504),_xleta.SUM)</f>
        <v>1</v>
      </c>
      <c r="AG504">
        <f ca="1"/>
        <v>2.0525053281739418</v>
      </c>
      <c r="AH504">
        <f ca="1"/>
        <v>2.0181869212143941</v>
      </c>
      <c r="AI504">
        <f ca="1"/>
        <v>2.5258581915054492</v>
      </c>
      <c r="AJ504">
        <f ca="1"/>
        <v>2.6296435168947463</v>
      </c>
      <c r="AK504">
        <f ca="1"/>
        <v>1.7969880660102735</v>
      </c>
      <c r="AL504">
        <f ca="1"/>
        <v>2.0171261561516891</v>
      </c>
      <c r="AM504">
        <f ca="1"/>
        <v>2.1597917665745388</v>
      </c>
      <c r="AN504">
        <f ca="1"/>
        <v>1.6978258610823578</v>
      </c>
      <c r="AO504">
        <f ca="1"/>
        <v>3.3606462203824825</v>
      </c>
      <c r="BJ504" s="7">
        <f ca="1"/>
        <v>0.39958744619003794</v>
      </c>
      <c r="BK504" s="7">
        <f ca="1"/>
        <v>0.96060060452658691</v>
      </c>
      <c r="BL504" s="7">
        <f ca="1"/>
        <v>0.13999817798185088</v>
      </c>
      <c r="BM504" s="7">
        <f ca="1"/>
        <v>0.10474328531735688</v>
      </c>
      <c r="BN504" s="7">
        <f ca="1"/>
        <v>0.3199159471242532</v>
      </c>
      <c r="BP504" s="11">
        <f ca="1"/>
        <v>0.56125469573063402</v>
      </c>
      <c r="BQ504">
        <f ca="1"/>
        <v>0.53677549008675218</v>
      </c>
      <c r="BR504">
        <f ca="1"/>
        <v>0.49477870900740673</v>
      </c>
      <c r="BS504">
        <f ca="1"/>
        <v>1.3236832185064034</v>
      </c>
      <c r="BT504">
        <f ca="1"/>
        <v>0.29544658290019071</v>
      </c>
      <c r="BU504">
        <f ca="1"/>
        <v>0.37643442649766967</v>
      </c>
      <c r="BV504">
        <f ca="1"/>
        <v>0.52062715711397811</v>
      </c>
      <c r="BW504">
        <f ca="1"/>
        <v>0.12843460428202769</v>
      </c>
      <c r="BX504" s="12">
        <f ca="1"/>
        <v>1.1324572304740912</v>
      </c>
    </row>
    <row r="505" spans="22:76" ht="24" customHeight="1">
      <c r="V505">
        <f ca="1"/>
        <v>0.42898696484677162</v>
      </c>
      <c r="W505">
        <f ca="1"/>
        <v>0.22312515121801621</v>
      </c>
      <c r="X505">
        <f ca="1"/>
        <v>0.34788788393521219</v>
      </c>
      <c r="Z505" s="16">
        <f ca="1"/>
        <v>1</v>
      </c>
      <c r="AG505">
        <f ca="1"/>
        <v>2.8853754540579746</v>
      </c>
      <c r="AH505">
        <f ca="1"/>
        <v>2.4717366327462513</v>
      </c>
      <c r="AI505">
        <f ca="1"/>
        <v>2.6184608861950114</v>
      </c>
      <c r="AJ505">
        <f ca="1"/>
        <v>3.1844352668058464</v>
      </c>
      <c r="AK505">
        <f ca="1"/>
        <v>2.1202065963765078</v>
      </c>
      <c r="AL505">
        <f ca="1"/>
        <v>2.6958671996380001</v>
      </c>
      <c r="AM505">
        <f ca="1"/>
        <v>2.7662245155137817</v>
      </c>
      <c r="AN505">
        <f ca="1"/>
        <v>2.1749757058894215</v>
      </c>
      <c r="AO505">
        <f ca="1"/>
        <v>3.6329060372134738</v>
      </c>
      <c r="BJ505" s="7">
        <f ca="1"/>
        <v>0.17508871766933165</v>
      </c>
      <c r="BK505" s="7">
        <f ca="1"/>
        <v>0.28658824109773806</v>
      </c>
      <c r="BL505" s="7">
        <f ca="1"/>
        <v>9.9033328495845119E-2</v>
      </c>
      <c r="BM505" s="7">
        <f ca="1"/>
        <v>0.21885859794166107</v>
      </c>
      <c r="BN505" s="7">
        <f ca="1"/>
        <v>0.29459291513393038</v>
      </c>
      <c r="BP505" s="13">
        <f ca="1"/>
        <v>0.38507212750619857</v>
      </c>
      <c r="BQ505" s="14">
        <f ca="1"/>
        <v>0.221177840741687</v>
      </c>
      <c r="BR505" s="14">
        <f ca="1"/>
        <v>0.27599315558025528</v>
      </c>
      <c r="BS505" s="14">
        <f ca="1"/>
        <v>0.57496457735014406</v>
      </c>
      <c r="BT505" s="14">
        <f ca="1"/>
        <v>0.14278618059284012</v>
      </c>
      <c r="BU505" s="14">
        <f ca="1"/>
        <v>0.25177983336493881</v>
      </c>
      <c r="BV505" s="14">
        <f ca="1"/>
        <v>0.27075501566339644</v>
      </c>
      <c r="BW505" s="14">
        <f ca="1"/>
        <v>9.415581815539921E-2</v>
      </c>
      <c r="BX505" s="15">
        <f ca="1"/>
        <v>0.64372700700265051</v>
      </c>
    </row>
    <row r="506" spans="22:76" ht="24" customHeight="1">
      <c r="V506">
        <f ca="1"/>
        <v>0.32345605719189374</v>
      </c>
      <c r="W506">
        <f ca="1"/>
        <v>0.26266474619611191</v>
      </c>
      <c r="X506">
        <f ca="1"/>
        <v>0.41387919661199435</v>
      </c>
      <c r="Z506" s="16">
        <f ca="1"/>
        <v>1</v>
      </c>
      <c r="BJ506" s="7">
        <f ca="1"/>
        <v>0.18023212763880037</v>
      </c>
      <c r="BK506" s="7">
        <f ca="1"/>
        <v>0.25581753075200675</v>
      </c>
      <c r="BL506" s="7">
        <f ca="1"/>
        <v>7.8927857470577845E-2</v>
      </c>
      <c r="BM506" s="7">
        <f ca="1"/>
        <v>0.33932161520533821</v>
      </c>
      <c r="BN506" s="7">
        <f ca="1"/>
        <v>0.71071768290634152</v>
      </c>
      <c r="BP506" s="8">
        <f ca="1"/>
        <v>0.61687893480028655</v>
      </c>
      <c r="BQ506" s="9">
        <f ca="1"/>
        <v>0.26374363811356993</v>
      </c>
      <c r="BR506" s="9">
        <f ca="1"/>
        <v>0.35317870840032628</v>
      </c>
      <c r="BS506" s="9">
        <f ca="1"/>
        <v>0.75532587281139274</v>
      </c>
      <c r="BT506" s="9">
        <f ca="1"/>
        <v>0.17636238217102654</v>
      </c>
      <c r="BU506" s="9">
        <f ca="1"/>
        <v>0.33594923380331532</v>
      </c>
      <c r="BV506" s="9">
        <f ca="1"/>
        <v>0.38421446223440736</v>
      </c>
      <c r="BW506" s="9">
        <f ca="1"/>
        <v>0.19687791154281364</v>
      </c>
      <c r="BX506" s="10">
        <f ca="1"/>
        <v>0.95000985392913873</v>
      </c>
    </row>
    <row r="507" spans="22:76" ht="24" customHeight="1">
      <c r="AG507" cm="1">
        <f t="array" aca="1" ref="AG507:AG515" ca="1">_xlfn.LET(_xlpm.x, AG497:AG505, _xlpm.r, _xlfn.WRAPCOLS(_xlpm.x,3), _xlpm.s, _xlfn.BYROW(_xlpm.r,_xleta.SUM), _xlfn.TOCOL(_xlpm.r/_xlpm.s))</f>
        <v>0.25405836376547353</v>
      </c>
      <c r="AH507" cm="1">
        <f t="array" aca="1" ref="AH507:AH515" ca="1">_xlfn.LET(_xlpm.x, AH497:AH505, _xlpm.r, _xlfn.WRAPCOLS(_xlpm.x,3), _xlpm.s, _xlfn.BYROW(_xlpm.r,_xleta.SUM), _xlfn.TOCOL(_xlpm.r/_xlpm.s))</f>
        <v>0.28579054939594717</v>
      </c>
      <c r="AI507" cm="1">
        <f t="array" aca="1" ref="AI507:AI515" ca="1">_xlfn.LET(_xlpm.x, AI497:AI505, _xlpm.r, _xlfn.WRAPCOLS(_xlpm.x,3), _xlpm.s, _xlfn.BYROW(_xlpm.r,_xleta.SUM), _xlfn.TOCOL(_xlpm.r/_xlpm.s))</f>
        <v>0.24960655419661623</v>
      </c>
      <c r="AJ507" cm="1">
        <f t="array" aca="1" ref="AJ507:AJ515" ca="1">_xlfn.LET(_xlpm.x, AJ497:AJ505, _xlpm.r, _xlfn.WRAPCOLS(_xlpm.x,3), _xlpm.s, _xlfn.BYROW(_xlpm.r,_xleta.SUM), _xlfn.TOCOL(_xlpm.r/_xlpm.s))</f>
        <v>0.28325266247697883</v>
      </c>
      <c r="AK507" cm="1">
        <f t="array" aca="1" ref="AK507:AK515" ca="1">_xlfn.LET(_xlpm.x, AK497:AK505, _xlpm.r, _xlfn.WRAPCOLS(_xlpm.x,3), _xlpm.s, _xlfn.BYROW(_xlpm.r,_xleta.SUM), _xlfn.TOCOL(_xlpm.r/_xlpm.s))</f>
        <v>0.28169720703042911</v>
      </c>
      <c r="AL507" cm="1">
        <f t="array" aca="1" ref="AL507:AL515" ca="1">_xlfn.LET(_xlpm.x, AL497:AL505, _xlpm.r, _xlfn.WRAPCOLS(_xlpm.x,3), _xlpm.s, _xlfn.BYROW(_xlpm.r,_xleta.SUM), _xlfn.TOCOL(_xlpm.r/_xlpm.s))</f>
        <v>0.26892179537820621</v>
      </c>
      <c r="AM507" cm="1">
        <f t="array" aca="1" ref="AM507:AM515" ca="1">_xlfn.LET(_xlpm.x, AM497:AM505, _xlpm.r, _xlfn.WRAPCOLS(_xlpm.x,3), _xlpm.s, _xlfn.BYROW(_xlpm.r,_xleta.SUM), _xlfn.TOCOL(_xlpm.r/_xlpm.s))</f>
        <v>0.24672027853849632</v>
      </c>
      <c r="AN507" cm="1">
        <f t="array" aca="1" ref="AN507:AN515" ca="1">_xlfn.LET(_xlpm.x, AN497:AN505, _xlpm.r, _xlfn.WRAPCOLS(_xlpm.x,3), _xlpm.s, _xlfn.BYROW(_xlpm.r,_xleta.SUM), _xlfn.TOCOL(_xlpm.r/_xlpm.s))</f>
        <v>0.28547276084841117</v>
      </c>
      <c r="AO507" cm="1">
        <f t="array" aca="1" ref="AO507:AO515" ca="1">_xlfn.LET(_xlpm.x, AO497:AO505, _xlpm.r, _xlfn.WRAPCOLS(_xlpm.x,3), _xlpm.s, _xlfn.BYROW(_xlpm.r,_xleta.SUM), _xlfn.TOCOL(_xlpm.r/_xlpm.s))</f>
        <v>0.27107876990536256</v>
      </c>
      <c r="BJ507" s="7">
        <f ca="1"/>
        <v>0.30851970848220889</v>
      </c>
      <c r="BK507" s="7">
        <f ca="1"/>
        <v>0.10974272908444438</v>
      </c>
      <c r="BL507" s="7">
        <f ca="1"/>
        <v>0.39267253324125417</v>
      </c>
      <c r="BM507" s="7">
        <f ca="1"/>
        <v>0.23844250617773022</v>
      </c>
      <c r="BN507" s="7">
        <f ca="1"/>
        <v>0.99211898012487021</v>
      </c>
      <c r="BP507" s="11">
        <f ca="1"/>
        <v>0.71034426940762851</v>
      </c>
      <c r="BQ507">
        <f ca="1"/>
        <v>0.37321634512900148</v>
      </c>
      <c r="BR507">
        <f ca="1"/>
        <v>0.34751904730721178</v>
      </c>
      <c r="BS507">
        <f ca="1"/>
        <v>0.84936613217364976</v>
      </c>
      <c r="BT507">
        <f ca="1"/>
        <v>0.1572481818970877</v>
      </c>
      <c r="BU507">
        <f ca="1"/>
        <v>0.60088402299753141</v>
      </c>
      <c r="BV507">
        <f ca="1"/>
        <v>0.3458353209200673</v>
      </c>
      <c r="BW507">
        <f ca="1"/>
        <v>0.28194663323237196</v>
      </c>
      <c r="BX507" s="12">
        <f ca="1"/>
        <v>1.1755364538630666</v>
      </c>
    </row>
    <row r="508" spans="22:76" ht="24" customHeight="1">
      <c r="V508" s="16" cm="1">
        <f t="array" aca="1" ref="V508:X508" ca="1">_xlfn.BYCOL(_xlfn.ANCHORARRAY(V504),_xleta.SUM)</f>
        <v>0.97885596057595337</v>
      </c>
      <c r="W508" s="16">
        <f ca="1"/>
        <v>1.0126753631387664</v>
      </c>
      <c r="X508" s="16">
        <f ca="1"/>
        <v>1.0084686762852804</v>
      </c>
      <c r="AG508">
        <f ca="1"/>
        <v>0.46365860745418319</v>
      </c>
      <c r="AH508">
        <f ca="1"/>
        <v>0.45648674379959248</v>
      </c>
      <c r="AI508">
        <f ca="1"/>
        <v>0.47947482955727294</v>
      </c>
      <c r="AJ508">
        <f ca="1"/>
        <v>0.41784715929723348</v>
      </c>
      <c r="AK508">
        <f ca="1"/>
        <v>0.42533973018512311</v>
      </c>
      <c r="AL508">
        <f ca="1"/>
        <v>0.41605186596203497</v>
      </c>
      <c r="AM508">
        <f ca="1"/>
        <v>0.47343574412492756</v>
      </c>
      <c r="AN508">
        <f ca="1"/>
        <v>0.38006587559966326</v>
      </c>
      <c r="AO508">
        <f ca="1"/>
        <v>0.38739375272141829</v>
      </c>
      <c r="BJ508" s="7">
        <f ca="1"/>
        <v>0.8917547864287072</v>
      </c>
      <c r="BK508" s="7">
        <f ca="1"/>
        <v>0.28616660048470588</v>
      </c>
      <c r="BL508" s="7">
        <f ca="1"/>
        <v>0.28902426594413222</v>
      </c>
      <c r="BM508" s="7">
        <f ca="1"/>
        <v>0.73960238823255375</v>
      </c>
      <c r="BN508" s="7">
        <f ca="1"/>
        <v>0.71032341019793033</v>
      </c>
      <c r="BP508" s="13">
        <f ca="1"/>
        <v>1.2285881880833747</v>
      </c>
      <c r="BQ508" s="14">
        <f ca="1"/>
        <v>0.61187377609109417</v>
      </c>
      <c r="BR508" s="14">
        <f ca="1"/>
        <v>0.63384285015363762</v>
      </c>
      <c r="BS508" s="14">
        <f ca="1"/>
        <v>1.4811441876596976</v>
      </c>
      <c r="BT508" s="14">
        <f ca="1"/>
        <v>0.33393264359121821</v>
      </c>
      <c r="BU508" s="14">
        <f ca="1"/>
        <v>0.90774810880315659</v>
      </c>
      <c r="BV508" s="14">
        <f ca="1"/>
        <v>0.59898514084172594</v>
      </c>
      <c r="BW508" s="14">
        <f ca="1"/>
        <v>0.28573573257992457</v>
      </c>
      <c r="BX508" s="15">
        <f ca="1"/>
        <v>1.895364425220913</v>
      </c>
    </row>
    <row r="509" spans="22:76" ht="24" customHeight="1">
      <c r="AG509">
        <f ca="1"/>
        <v>0.28228302878034323</v>
      </c>
      <c r="AH509">
        <f ca="1"/>
        <v>0.2577227068044603</v>
      </c>
      <c r="AI509">
        <f ca="1"/>
        <v>0.27091861624611074</v>
      </c>
      <c r="AJ509">
        <f ca="1"/>
        <v>0.29890017822578768</v>
      </c>
      <c r="AK509">
        <f ca="1"/>
        <v>0.29296306278444773</v>
      </c>
      <c r="AL509">
        <f ca="1"/>
        <v>0.31502633865975893</v>
      </c>
      <c r="AM509">
        <f ca="1"/>
        <v>0.27984397733657607</v>
      </c>
      <c r="AN509">
        <f ca="1"/>
        <v>0.33446136355192568</v>
      </c>
      <c r="AO509">
        <f ca="1"/>
        <v>0.3415274773732192</v>
      </c>
    </row>
    <row r="510" spans="22:76" ht="24" customHeight="1">
      <c r="AG510">
        <f ca="1"/>
        <v>0.54913724278967702</v>
      </c>
      <c r="AH510">
        <f ca="1"/>
        <v>0.55025476142941943</v>
      </c>
      <c r="AI510">
        <f ca="1"/>
        <v>0.50165253276753219</v>
      </c>
      <c r="AJ510">
        <f ca="1"/>
        <v>0.54687126423708454</v>
      </c>
      <c r="AK510">
        <f ca="1"/>
        <v>0.51384044470691848</v>
      </c>
      <c r="AL510">
        <f ca="1"/>
        <v>0.5148323227417938</v>
      </c>
      <c r="AM510">
        <f ca="1"/>
        <v>0.55806813057630789</v>
      </c>
      <c r="AN510">
        <f ca="1"/>
        <v>0.53551074163484291</v>
      </c>
      <c r="AO510">
        <f ca="1"/>
        <v>0.54354614173662341</v>
      </c>
    </row>
    <row r="511" spans="22:76" ht="24" customHeight="1">
      <c r="AG511">
        <f ca="1"/>
        <v>0.2412052069222588</v>
      </c>
      <c r="AH511">
        <f ca="1"/>
        <v>0.21776612104415521</v>
      </c>
      <c r="AI511">
        <f ca="1"/>
        <v>0.23049351895038689</v>
      </c>
      <c r="AJ511">
        <f ca="1"/>
        <v>0.22431073051553413</v>
      </c>
      <c r="AK511">
        <f ca="1"/>
        <v>0.22066346713359997</v>
      </c>
      <c r="AL511">
        <f ca="1"/>
        <v>0.23833735575474627</v>
      </c>
      <c r="AM511">
        <f ca="1"/>
        <v>0.21428458123315888</v>
      </c>
      <c r="AN511">
        <f ca="1"/>
        <v>0.19650965134756787</v>
      </c>
      <c r="AO511">
        <f ca="1"/>
        <v>0.22134230045126554</v>
      </c>
    </row>
    <row r="512" spans="22:76" ht="24" customHeight="1">
      <c r="AG512">
        <f ca="1"/>
        <v>0.20965755028806413</v>
      </c>
      <c r="AH512">
        <f ca="1"/>
        <v>0.23197911752642536</v>
      </c>
      <c r="AI512">
        <f ca="1"/>
        <v>0.26785394828208098</v>
      </c>
      <c r="AJ512">
        <f ca="1"/>
        <v>0.22881800524738138</v>
      </c>
      <c r="AK512">
        <f ca="1"/>
        <v>0.26549608815948156</v>
      </c>
      <c r="AL512">
        <f ca="1"/>
        <v>0.24683032150345993</v>
      </c>
      <c r="AM512">
        <f ca="1"/>
        <v>0.2276472881905332</v>
      </c>
      <c r="AN512">
        <f ca="1"/>
        <v>0.26797960701758916</v>
      </c>
      <c r="AO512">
        <f ca="1"/>
        <v>0.23511155781211104</v>
      </c>
      <c r="BF512" cm="1">
        <f t="array" aca="1" ref="BF512:BN514" ca="1">BP500:BX502</f>
        <v>0.76054923121232831</v>
      </c>
      <c r="BG512">
        <f ca="1"/>
        <v>0.38855867547075157</v>
      </c>
      <c r="BH512">
        <f ca="1"/>
        <v>0.60182163113231357</v>
      </c>
      <c r="BI512">
        <f ca="1"/>
        <v>1.0993478077846963</v>
      </c>
      <c r="BJ512">
        <f ca="1"/>
        <v>0.28985720622702943</v>
      </c>
      <c r="BK512">
        <f ca="1"/>
        <v>0.43329440525006618</v>
      </c>
      <c r="BL512">
        <f ca="1"/>
        <v>0.60688840023185309</v>
      </c>
      <c r="BM512">
        <f ca="1"/>
        <v>0.2313816309396918</v>
      </c>
      <c r="BN512">
        <f ca="1"/>
        <v>1.2738564583835781</v>
      </c>
    </row>
    <row r="513" spans="22:76" ht="24" customHeight="1">
      <c r="V513" cm="1">
        <f t="array" aca="1" ref="V513:X515" ca="1">_xlfn.ANCHORARRAY(V504)</f>
        <v>0.226412938537288</v>
      </c>
      <c r="W513">
        <f ca="1"/>
        <v>0.52688546572463824</v>
      </c>
      <c r="X513">
        <f ca="1"/>
        <v>0.24670159573807379</v>
      </c>
      <c r="AG513">
        <f ca="1"/>
        <v>0.24646168432008814</v>
      </c>
      <c r="AH513">
        <f ca="1"/>
        <v>0.26409247176690515</v>
      </c>
      <c r="AI513">
        <f ca="1"/>
        <v>0.25052712637250268</v>
      </c>
      <c r="AJ513">
        <f ca="1"/>
        <v>0.2221062577485016</v>
      </c>
      <c r="AK513">
        <f ca="1"/>
        <v>0.2490180730581586</v>
      </c>
      <c r="AL513">
        <f ca="1"/>
        <v>0.28073052836557388</v>
      </c>
      <c r="AM513">
        <f ca="1"/>
        <v>0.230477363784789</v>
      </c>
      <c r="AN513">
        <f ca="1"/>
        <v>0.24771892312808519</v>
      </c>
      <c r="AO513">
        <f ca="1"/>
        <v>0.26357460458278087</v>
      </c>
      <c r="BF513">
        <f ca="1"/>
        <v>1.4236070249749626</v>
      </c>
      <c r="BG513">
        <f ca="1"/>
        <v>0.84977749728083485</v>
      </c>
      <c r="BH513">
        <f ca="1"/>
        <v>1.006600524676645</v>
      </c>
      <c r="BI513">
        <f ca="1"/>
        <v>2.0462145903024194</v>
      </c>
      <c r="BJ513">
        <f ca="1"/>
        <v>0.51207765874390787</v>
      </c>
      <c r="BK513">
        <f ca="1"/>
        <v>1.1157842961266216</v>
      </c>
      <c r="BL513">
        <f ca="1"/>
        <v>0.9050626900901938</v>
      </c>
      <c r="BM513">
        <f ca="1"/>
        <v>0.30168454329560063</v>
      </c>
      <c r="BN513">
        <f ca="1"/>
        <v>2.3894135947886972</v>
      </c>
    </row>
    <row r="514" spans="22:76" ht="24" customHeight="1">
      <c r="V514">
        <f ca="1"/>
        <v>0.42898696484677162</v>
      </c>
      <c r="W514">
        <f ca="1"/>
        <v>0.22312515121801621</v>
      </c>
      <c r="X514">
        <f ca="1"/>
        <v>0.34788788393521219</v>
      </c>
      <c r="AG514">
        <f ca="1"/>
        <v>0.41306741698920796</v>
      </c>
      <c r="AH514">
        <f ca="1"/>
        <v>0.37241671524249764</v>
      </c>
      <c r="AI514">
        <f ca="1"/>
        <v>0.41180259547040715</v>
      </c>
      <c r="AJ514">
        <f ca="1"/>
        <v>0.43727763413661747</v>
      </c>
      <c r="AK514">
        <f ca="1"/>
        <v>0.38504835172746632</v>
      </c>
      <c r="AL514">
        <f ca="1"/>
        <v>0.33719740706370505</v>
      </c>
      <c r="AM514">
        <f ca="1"/>
        <v>0.40185516196631788</v>
      </c>
      <c r="AN514">
        <f ca="1"/>
        <v>0.35981672634980533</v>
      </c>
      <c r="AO514">
        <f ca="1"/>
        <v>0.4416518527981641</v>
      </c>
      <c r="BF514">
        <f ca="1"/>
        <v>0.76993028704698396</v>
      </c>
      <c r="BG514">
        <f ca="1"/>
        <v>0.4935972964800322</v>
      </c>
      <c r="BH514">
        <f ca="1"/>
        <v>0.17514323589305383</v>
      </c>
      <c r="BI514">
        <f ca="1"/>
        <v>1.1271305863991914</v>
      </c>
      <c r="BJ514">
        <f ca="1"/>
        <v>0.14924568984465034</v>
      </c>
      <c r="BK514">
        <f ca="1"/>
        <v>0.55576981943169723</v>
      </c>
      <c r="BL514">
        <f ca="1"/>
        <v>0.27049320282273337</v>
      </c>
      <c r="BM514">
        <f ca="1"/>
        <v>0.25541287974811228</v>
      </c>
      <c r="BN514">
        <f ca="1"/>
        <v>1.2366572532801789</v>
      </c>
    </row>
    <row r="515" spans="22:76" ht="24" customHeight="1">
      <c r="V515">
        <f ca="1"/>
        <v>0.32345605719189374</v>
      </c>
      <c r="W515">
        <f ca="1"/>
        <v>0.26266474619611191</v>
      </c>
      <c r="X515">
        <f ca="1"/>
        <v>0.41387919661199435</v>
      </c>
      <c r="AG515">
        <f ca="1"/>
        <v>0.34047089869070379</v>
      </c>
      <c r="AH515">
        <f ca="1"/>
        <v>0.36349081299059732</v>
      </c>
      <c r="AI515">
        <f ca="1"/>
        <v>0.33767027815709011</v>
      </c>
      <c r="AJ515">
        <f ca="1"/>
        <v>0.34061610811488102</v>
      </c>
      <c r="AK515">
        <f ca="1"/>
        <v>0.36593357521437508</v>
      </c>
      <c r="AL515">
        <f ca="1"/>
        <v>0.38207206457072118</v>
      </c>
      <c r="AM515">
        <f ca="1"/>
        <v>0.36766747424889318</v>
      </c>
      <c r="AN515">
        <f ca="1"/>
        <v>0.39246435052210948</v>
      </c>
      <c r="AO515">
        <f ca="1"/>
        <v>0.29477354261905508</v>
      </c>
    </row>
    <row r="516" spans="22:76" ht="24" customHeight="1">
      <c r="BB516" cm="1">
        <f t="array" aca="1" ref="BB516:BD524" ca="1">TRANSPOSE(BP503:BX505)</f>
        <v>1.2455427042696117</v>
      </c>
      <c r="BC516">
        <f ca="1"/>
        <v>0.56125469573063402</v>
      </c>
      <c r="BD516">
        <f ca="1"/>
        <v>0.38507212750619857</v>
      </c>
      <c r="BF516" cm="1">
        <f t="array" aca="1" ref="BF516:BN524" ca="1">MMULT(_xlfn.ANCHORARRAY(BB516),_xlfn.ANCHORARRAY(BF512))/SQRT(3)</f>
        <v>1.1794003724108999</v>
      </c>
      <c r="BG516">
        <f ca="1"/>
        <v>0.66451780175591457</v>
      </c>
      <c r="BH516">
        <f ca="1"/>
        <v>0.79789610417469159</v>
      </c>
      <c r="BI516">
        <f ca="1"/>
        <v>1.7041987155942324</v>
      </c>
      <c r="BJ516">
        <f ca="1"/>
        <v>0.407554946581066</v>
      </c>
      <c r="BK516">
        <f ca="1"/>
        <v>0.79670718758696202</v>
      </c>
      <c r="BL516">
        <f ca="1"/>
        <v>0.78983566248005432</v>
      </c>
      <c r="BM516">
        <f ca="1"/>
        <v>0.32093166519188854</v>
      </c>
      <c r="BN516">
        <f ca="1"/>
        <v>1.9652509284288835</v>
      </c>
      <c r="BP516" cm="1">
        <f t="array" aca="1" ref="BP516:BP524" ca="1">_xlfn.LET(_xlpm.s,BF516:BF524,_xlpm.z,_xlpm.s-MAX(_xlpm.s),EXP(_xlpm.z)/SUM(EXP(_xlpm.z)))</f>
        <v>9.8761629211291294E-2</v>
      </c>
      <c r="BQ516" cm="1">
        <f t="array" aca="1" ref="BQ516:BQ524" ca="1">_xlfn.LET(_xlpm.s,BG516:BG524,_xlpm.z,_xlpm.s-MAX(_xlpm.s),EXP(_xlpm.z)/SUM(EXP(_xlpm.z)))</f>
        <v>0.10928967859261819</v>
      </c>
      <c r="BR516" cm="1">
        <f t="array" aca="1" ref="BR516:BR524" ca="1">_xlfn.LET(_xlpm.s,BH516:BH524,_xlpm.z,_xlpm.s-MAX(_xlpm.s),EXP(_xlpm.z)/SUM(EXP(_xlpm.z)))</f>
        <v>0.1071744800613041</v>
      </c>
      <c r="BS516" cm="1">
        <f t="array" aca="1" ref="BS516:BS524" ca="1">_xlfn.LET(_xlpm.s,BI516:BI524,_xlpm.z,_xlpm.s-MAX(_xlpm.s),EXP(_xlpm.z)/SUM(EXP(_xlpm.z)))</f>
        <v>8.1446379442505323E-2</v>
      </c>
      <c r="BT516" cm="1">
        <f t="array" aca="1" ref="BT516:BT524" ca="1">_xlfn.LET(_xlpm.s,BJ516:BJ524,_xlpm.z,_xlpm.s-MAX(_xlpm.s),EXP(_xlpm.z)/SUM(EXP(_xlpm.z)))</f>
        <v>0.11186607667736607</v>
      </c>
      <c r="BU516" cm="1">
        <f t="array" aca="1" ref="BU516:BU524" ca="1">_xlfn.LET(_xlpm.s,BK516:BK524,_xlpm.z,_xlpm.s-MAX(_xlpm.s),EXP(_xlpm.z)/SUM(EXP(_xlpm.z)))</f>
        <v>0.10602271747975131</v>
      </c>
      <c r="BV516" cm="1">
        <f t="array" aca="1" ref="BV516:BV524" ca="1">_xlfn.LET(_xlpm.s,BL516:BL524,_xlpm.z,_xlpm.s-MAX(_xlpm.s),EXP(_xlpm.z)/SUM(EXP(_xlpm.z)))</f>
        <v>0.10834742512354568</v>
      </c>
      <c r="BW516" cm="1">
        <f t="array" aca="1" ref="BW516:BW524" ca="1">_xlfn.LET(_xlpm.s,BM516:BM524,_xlpm.z,_xlpm.s-MAX(_xlpm.s),EXP(_xlpm.z)/SUM(EXP(_xlpm.z)))</f>
        <v>0.11316964439592724</v>
      </c>
      <c r="BX516" cm="1">
        <f t="array" aca="1" ref="BX516:BX524" ca="1">_xlfn.LET(_xlpm.s,BN516:BN524,_xlpm.z,_xlpm.s-MAX(_xlpm.s),EXP(_xlpm.z)/SUM(EXP(_xlpm.z)))</f>
        <v>7.1541140089079552E-2</v>
      </c>
    </row>
    <row r="517" spans="22:76" ht="24" customHeight="1">
      <c r="V517" s="1" cm="1">
        <f t="array" aca="1" ref="V517:V519" ca="1">V513:V515</f>
        <v>0.226412938537288</v>
      </c>
      <c r="AG517" cm="1">
        <f t="array" aca="1" ref="AG517:AG525" ca="1">_xlfn.LET(_xlpm.x,_xlfn.ANCHORARRAY( AG507), _xlpm.r, _xlfn.WRAPCOLS(_xlpm.x,3), _xlpm.s, _xlfn.BYROW(_xlpm.r,_xleta.SUM), _xlfn.TOCOL(_xlpm.r/_xlpm.s))</f>
        <v>0.24203934557881396</v>
      </c>
      <c r="AH517" cm="1">
        <f t="array" aca="1" ref="AH517:AH525" ca="1">_xlfn.LET(_xlpm.x,_xlfn.ANCHORARRAY( AH507), _xlpm.r, _xlfn.WRAPCOLS(_xlpm.x,3), _xlpm.s, _xlfn.BYROW(_xlpm.r,_xleta.SUM), _xlfn.TOCOL(_xlpm.r/_xlpm.s))</f>
        <v>0.25977705149125452</v>
      </c>
      <c r="AI517" cm="1">
        <f t="array" aca="1" ref="AI517:AI525" ca="1">_xlfn.LET(_xlpm.x,_xlfn.ANCHORARRAY( AI507), _xlpm.r, _xlfn.WRAPCOLS(_xlpm.x,3), _xlpm.s, _xlfn.BYROW(_xlpm.r,_xleta.SUM), _xlfn.TOCOL(_xlpm.r/_xlpm.s))</f>
        <v>0.24916149860482831</v>
      </c>
      <c r="AJ517" cm="1">
        <f t="array" aca="1" ref="AJ517:AJ525" ca="1">_xlfn.LET(_xlpm.x,_xlfn.ANCHORARRAY( AJ507), _xlpm.r, _xlfn.WRAPCOLS(_xlpm.x,3), _xlpm.s, _xlfn.BYROW(_xlpm.r,_xleta.SUM), _xlfn.TOCOL(_xlpm.r/_xlpm.s))</f>
        <v>0.2691926791870663</v>
      </c>
      <c r="AK517" cm="1">
        <f t="array" aca="1" ref="AK517:AK525" ca="1">_xlfn.LET(_xlpm.x,_xlfn.ANCHORARRAY( AK507), _xlpm.r, _xlfn.WRAPCOLS(_xlpm.x,3), _xlpm.s, _xlfn.BYROW(_xlpm.r,_xleta.SUM), _xlfn.TOCOL(_xlpm.r/_xlpm.s))</f>
        <v>0.26968135863271181</v>
      </c>
      <c r="AL517" cm="1">
        <f t="array" aca="1" ref="AL517:AL525" ca="1">_xlfn.LET(_xlpm.x,_xlfn.ANCHORARRAY( AL507), _xlpm.r, _xlfn.WRAPCOLS(_xlpm.x,3), _xlpm.s, _xlfn.BYROW(_xlpm.r,_xleta.SUM), _xlfn.TOCOL(_xlpm.r/_xlpm.s))</f>
        <v>0.25263097618745284</v>
      </c>
      <c r="AM517" cm="1">
        <f t="array" aca="1" ref="AM517:AM525" ca="1">_xlfn.LET(_xlpm.x,_xlfn.ANCHORARRAY( AM507), _xlpm.r, _xlfn.WRAPCOLS(_xlpm.x,3), _xlpm.s, _xlfn.BYROW(_xlpm.r,_xleta.SUM), _xlfn.TOCOL(_xlpm.r/_xlpm.s))</f>
        <v>0.23831588467131221</v>
      </c>
      <c r="AN517" cm="1">
        <f t="array" aca="1" ref="AN517:AN525" ca="1">_xlfn.LET(_xlpm.x,_xlfn.ANCHORARRAY( AN507), _xlpm.r, _xlfn.WRAPCOLS(_xlpm.x,3), _xlpm.s, _xlfn.BYROW(_xlpm.r,_xleta.SUM), _xlfn.TOCOL(_xlpm.r/_xlpm.s))</f>
        <v>0.26712090663133814</v>
      </c>
      <c r="AO517" cm="1">
        <f t="array" aca="1" ref="AO517:AO525" ca="1">_xlfn.LET(_xlpm.x,_xlfn.ANCHORARRAY( AO507), _xlpm.r, _xlfn.WRAPCOLS(_xlpm.x,3), _xlpm.s, _xlfn.BYROW(_xlpm.r,_xleta.SUM), _xlfn.TOCOL(_xlpm.r/_xlpm.s))</f>
        <v>0.25141800364975503</v>
      </c>
      <c r="BB517">
        <f ca="1"/>
        <v>0.84367455050652596</v>
      </c>
      <c r="BC517">
        <f ca="1"/>
        <v>0.53677549008675218</v>
      </c>
      <c r="BD517">
        <f ca="1"/>
        <v>0.221177840741687</v>
      </c>
      <c r="BF517">
        <f ca="1"/>
        <v>0.90996459273959673</v>
      </c>
      <c r="BG517">
        <f ca="1"/>
        <v>0.51564860497701237</v>
      </c>
      <c r="BH517">
        <f ca="1"/>
        <v>0.62746305251075418</v>
      </c>
      <c r="BI517">
        <f ca="1"/>
        <v>1.3135561073075177</v>
      </c>
      <c r="BJ517">
        <f ca="1"/>
        <v>0.31894314036008992</v>
      </c>
      <c r="BK517">
        <f ca="1"/>
        <v>0.62781593289887894</v>
      </c>
      <c r="BL517">
        <f ca="1"/>
        <v>0.61063963321365078</v>
      </c>
      <c r="BM517">
        <f ca="1"/>
        <v>0.23881477927226458</v>
      </c>
      <c r="BN517">
        <f ca="1"/>
        <v>1.5189046983038281</v>
      </c>
      <c r="BP517">
        <f ca="1"/>
        <v>7.543515260887157E-2</v>
      </c>
      <c r="BQ517">
        <f ca="1"/>
        <v>9.4172928969493197E-2</v>
      </c>
      <c r="BR517">
        <f ca="1"/>
        <v>9.0380190297046609E-2</v>
      </c>
      <c r="BS517">
        <f ca="1"/>
        <v>5.510840660496278E-2</v>
      </c>
      <c r="BT517">
        <f ca="1"/>
        <v>0.10237992061666616</v>
      </c>
      <c r="BU517">
        <f ca="1"/>
        <v>8.9546866145271298E-2</v>
      </c>
      <c r="BV517">
        <f ca="1"/>
        <v>9.0572164794910356E-2</v>
      </c>
      <c r="BW517">
        <f ca="1"/>
        <v>0.10424783414148142</v>
      </c>
      <c r="BX517">
        <f ca="1"/>
        <v>4.5783622505992466E-2</v>
      </c>
    </row>
    <row r="518" spans="22:76" ht="24" customHeight="1">
      <c r="V518" s="2">
        <f ca="1"/>
        <v>0.42898696484677162</v>
      </c>
      <c r="AG518">
        <f ca="1"/>
        <v>0.52315860382562429</v>
      </c>
      <c r="AH518">
        <f ca="1"/>
        <v>0.50016895168607478</v>
      </c>
      <c r="AI518">
        <f ca="1"/>
        <v>0.50075807202085287</v>
      </c>
      <c r="AJ518">
        <f ca="1"/>
        <v>0.51972588537402908</v>
      </c>
      <c r="AK518">
        <f ca="1"/>
        <v>0.49192248197913385</v>
      </c>
      <c r="AL518">
        <f ca="1"/>
        <v>0.48364466734351425</v>
      </c>
      <c r="AM518">
        <f ca="1"/>
        <v>0.53905783923799533</v>
      </c>
      <c r="AN518">
        <f ca="1"/>
        <v>0.50108498755255459</v>
      </c>
      <c r="AO518">
        <f ca="1"/>
        <v>0.5041238968830265</v>
      </c>
      <c r="BB518">
        <f ca="1"/>
        <v>0.69924468100292103</v>
      </c>
      <c r="BC518">
        <f ca="1"/>
        <v>0.49477870900740673</v>
      </c>
      <c r="BD518">
        <f ca="1"/>
        <v>0.27599315558025528</v>
      </c>
      <c r="BF518">
        <f ca="1"/>
        <v>0.83639344393675852</v>
      </c>
      <c r="BG518">
        <f ca="1"/>
        <v>0.47826476680135444</v>
      </c>
      <c r="BH518">
        <f ca="1"/>
        <v>0.55841515311995826</v>
      </c>
      <c r="BI518">
        <f ca="1"/>
        <v>1.2079419602797987</v>
      </c>
      <c r="BJ518">
        <f ca="1"/>
        <v>0.28707992821779105</v>
      </c>
      <c r="BK518">
        <f ca="1"/>
        <v>0.58221951895531909</v>
      </c>
      <c r="BL518">
        <f ca="1"/>
        <v>0.54664880710810004</v>
      </c>
      <c r="BM518">
        <f ca="1"/>
        <v>0.22028895951887123</v>
      </c>
      <c r="BN518">
        <f ca="1"/>
        <v>1.3938836284444474</v>
      </c>
      <c r="BP518">
        <f ca="1"/>
        <v>7.0084540343665569E-2</v>
      </c>
      <c r="BQ518">
        <f ca="1"/>
        <v>9.0717376767793262E-2</v>
      </c>
      <c r="BR518">
        <f ca="1"/>
        <v>8.435020253469766E-2</v>
      </c>
      <c r="BS518">
        <f ca="1"/>
        <v>4.9584988041015535E-2</v>
      </c>
      <c r="BT518">
        <f ca="1"/>
        <v>9.9169191203470591E-2</v>
      </c>
      <c r="BU518">
        <f ca="1"/>
        <v>8.5555536806336888E-2</v>
      </c>
      <c r="BV518">
        <f ca="1"/>
        <v>8.4957922787388285E-2</v>
      </c>
      <c r="BW518">
        <f ca="1"/>
        <v>0.10233433683624861</v>
      </c>
      <c r="BX518">
        <f ca="1"/>
        <v>4.0403053755011242E-2</v>
      </c>
    </row>
    <row r="519" spans="22:76" ht="24" customHeight="1">
      <c r="V519" s="3">
        <f ca="1"/>
        <v>0.32345605719189374</v>
      </c>
      <c r="AG519">
        <f ca="1"/>
        <v>0.23480205059556183</v>
      </c>
      <c r="AH519">
        <f ca="1"/>
        <v>0.24005399682267065</v>
      </c>
      <c r="AI519">
        <f ca="1"/>
        <v>0.25008042937431885</v>
      </c>
      <c r="AJ519">
        <f ca="1"/>
        <v>0.21108143543890459</v>
      </c>
      <c r="AK519">
        <f ca="1"/>
        <v>0.23839615938815437</v>
      </c>
      <c r="AL519">
        <f ca="1"/>
        <v>0.26372435646903281</v>
      </c>
      <c r="AM519">
        <f ca="1"/>
        <v>0.22262627609069252</v>
      </c>
      <c r="AN519">
        <f ca="1"/>
        <v>0.23179410581610718</v>
      </c>
      <c r="AO519">
        <f ca="1"/>
        <v>0.24445809946721844</v>
      </c>
      <c r="BB519">
        <f ca="1"/>
        <v>1.7284870310633</v>
      </c>
      <c r="BC519">
        <f ca="1"/>
        <v>1.3236832185064034</v>
      </c>
      <c r="BD519">
        <f ca="1"/>
        <v>0.57496457735014406</v>
      </c>
      <c r="BF519">
        <f ca="1"/>
        <v>2.1025288851286108</v>
      </c>
      <c r="BG519">
        <f ca="1"/>
        <v>1.20103624895682</v>
      </c>
      <c r="BH519">
        <f ca="1"/>
        <v>1.427996368508613</v>
      </c>
      <c r="BI519">
        <f ca="1"/>
        <v>3.0350198050113337</v>
      </c>
      <c r="BJ519">
        <f ca="1"/>
        <v>0.73014833325412709</v>
      </c>
      <c r="BK519">
        <f ca="1"/>
        <v>1.4696085452996175</v>
      </c>
      <c r="BL519">
        <f ca="1"/>
        <v>1.387106557850603</v>
      </c>
      <c r="BM519">
        <f ca="1"/>
        <v>0.54624741368345775</v>
      </c>
      <c r="BN519">
        <f ca="1"/>
        <v>3.507810009760767</v>
      </c>
      <c r="BP519">
        <f ca="1"/>
        <v>0.24859813417789961</v>
      </c>
      <c r="BQ519">
        <f ca="1"/>
        <v>0.1868900369174509</v>
      </c>
      <c r="BR519">
        <f ca="1"/>
        <v>0.20125211498796597</v>
      </c>
      <c r="BS519">
        <f ca="1"/>
        <v>0.30820525463969589</v>
      </c>
      <c r="BT519">
        <f ca="1"/>
        <v>0.15445391986397985</v>
      </c>
      <c r="BU519">
        <f ca="1"/>
        <v>0.20779556685122041</v>
      </c>
      <c r="BV519">
        <f ca="1"/>
        <v>0.19688382985597472</v>
      </c>
      <c r="BW519">
        <f ca="1"/>
        <v>0.14176967295449105</v>
      </c>
      <c r="BX519">
        <f ca="1"/>
        <v>0.33456519098684739</v>
      </c>
    </row>
    <row r="520" spans="22:76" ht="24" customHeight="1">
      <c r="V520" s="1" cm="1">
        <f t="array" aca="1" ref="V520:V522" ca="1">W513:W515</f>
        <v>0.52688546572463824</v>
      </c>
      <c r="AG520">
        <f ca="1"/>
        <v>0.41474698482820271</v>
      </c>
      <c r="AH520">
        <f ca="1"/>
        <v>0.43613261767097317</v>
      </c>
      <c r="AI520">
        <f ca="1"/>
        <v>0.42742667933343059</v>
      </c>
      <c r="AJ520">
        <f ca="1"/>
        <v>0.38709783958974697</v>
      </c>
      <c r="AK520">
        <f ca="1"/>
        <v>0.412530033613352</v>
      </c>
      <c r="AL520">
        <f ca="1"/>
        <v>0.41958196478881621</v>
      </c>
      <c r="AM520">
        <f ca="1"/>
        <v>0.43451394569045526</v>
      </c>
      <c r="AN520">
        <f ca="1"/>
        <v>0.40588319079045304</v>
      </c>
      <c r="AO520">
        <f ca="1"/>
        <v>0.36881018004806493</v>
      </c>
      <c r="BB520">
        <f ca="1"/>
        <v>0.34248660734719155</v>
      </c>
      <c r="BC520">
        <f ca="1"/>
        <v>0.29544658290019071</v>
      </c>
      <c r="BD520">
        <f ca="1"/>
        <v>0.14278618059284012</v>
      </c>
      <c r="BF520">
        <f ca="1"/>
        <v>0.45669166192673394</v>
      </c>
      <c r="BG520">
        <f ca="1"/>
        <v>0.26247432872239918</v>
      </c>
      <c r="BH520">
        <f ca="1"/>
        <v>0.30514149206026425</v>
      </c>
      <c r="BI520">
        <f ca="1"/>
        <v>0.65933266855626715</v>
      </c>
      <c r="BJ520">
        <f ca="1"/>
        <v>0.1569665430517678</v>
      </c>
      <c r="BK520">
        <f ca="1"/>
        <v>0.32181991183545433</v>
      </c>
      <c r="BL520">
        <f ca="1"/>
        <v>0.29668386019231813</v>
      </c>
      <c r="BM520">
        <f ca="1"/>
        <v>0.11826801263091136</v>
      </c>
      <c r="BN520">
        <f ca="1"/>
        <v>0.76140977997295134</v>
      </c>
      <c r="BP520">
        <f ca="1"/>
        <v>4.794240768022992E-2</v>
      </c>
      <c r="BQ520">
        <f ca="1"/>
        <v>7.3109512319782674E-2</v>
      </c>
      <c r="BR520">
        <f ca="1"/>
        <v>6.5477302053620526E-2</v>
      </c>
      <c r="BS520">
        <f ca="1"/>
        <v>2.8647862576930732E-2</v>
      </c>
      <c r="BT520">
        <f ca="1"/>
        <v>8.707014066178391E-2</v>
      </c>
      <c r="BU520">
        <f ca="1"/>
        <v>6.594137641963671E-2</v>
      </c>
      <c r="BV520">
        <f ca="1"/>
        <v>6.6167616133308557E-2</v>
      </c>
      <c r="BW520">
        <f ca="1"/>
        <v>9.2408994612439399E-2</v>
      </c>
      <c r="BX520">
        <f ca="1"/>
        <v>2.1465167856050144E-2</v>
      </c>
    </row>
    <row r="521" spans="22:76" ht="24" customHeight="1">
      <c r="V521" s="2">
        <f ca="1"/>
        <v>0.22312515121801621</v>
      </c>
      <c r="AG521">
        <f ca="1"/>
        <v>0.21576032599751749</v>
      </c>
      <c r="AH521">
        <f ca="1"/>
        <v>0.2080562244163161</v>
      </c>
      <c r="AI521">
        <f ca="1"/>
        <v>0.20547289104583327</v>
      </c>
      <c r="AJ521">
        <f ca="1"/>
        <v>0.20780373217182738</v>
      </c>
      <c r="AK521">
        <f ca="1"/>
        <v>0.21401788042288719</v>
      </c>
      <c r="AL521">
        <f ca="1"/>
        <v>0.24035959021338163</v>
      </c>
      <c r="AM521">
        <f ca="1"/>
        <v>0.19666795346081326</v>
      </c>
      <c r="AN521">
        <f ca="1"/>
        <v>0.20985826255573722</v>
      </c>
      <c r="AO521">
        <f ca="1"/>
        <v>0.21072434211500585</v>
      </c>
      <c r="BB521">
        <f ca="1"/>
        <v>1.2966019880248558</v>
      </c>
      <c r="BC521">
        <f ca="1"/>
        <v>0.37643442649766967</v>
      </c>
      <c r="BD521">
        <f ca="1"/>
        <v>0.25177983336493881</v>
      </c>
      <c r="BF521">
        <f ca="1"/>
        <v>0.99066219712625814</v>
      </c>
      <c r="BG521">
        <f ca="1"/>
        <v>0.54731033110219374</v>
      </c>
      <c r="BH521">
        <f ca="1"/>
        <v>0.69474852820200683</v>
      </c>
      <c r="BI521">
        <f ca="1"/>
        <v>1.4315232031792315</v>
      </c>
      <c r="BJ521">
        <f ca="1"/>
        <v>0.34997249612970466</v>
      </c>
      <c r="BK521">
        <f ca="1"/>
        <v>0.6476493856176796</v>
      </c>
      <c r="BL521">
        <f ca="1"/>
        <v>0.69033436504655976</v>
      </c>
      <c r="BM521">
        <f ca="1"/>
        <v>0.27590538390760455</v>
      </c>
      <c r="BN521">
        <f ca="1"/>
        <v>1.6526695967982239</v>
      </c>
      <c r="BP521">
        <f ca="1"/>
        <v>8.1774951941129728E-2</v>
      </c>
      <c r="BQ521">
        <f ca="1"/>
        <v>9.7202311122413329E-2</v>
      </c>
      <c r="BR521">
        <f ca="1"/>
        <v>9.6670722003598039E-2</v>
      </c>
      <c r="BS521">
        <f ca="1"/>
        <v>6.2008369654153572E-2</v>
      </c>
      <c r="BT521">
        <f ca="1"/>
        <v>0.1056065041198455</v>
      </c>
      <c r="BU521">
        <f ca="1"/>
        <v>9.1340619037965254E-2</v>
      </c>
      <c r="BV521">
        <f ca="1"/>
        <v>9.8085707798711397E-2</v>
      </c>
      <c r="BW521">
        <f ca="1"/>
        <v>0.1081870517304284</v>
      </c>
      <c r="BX521">
        <f ca="1"/>
        <v>5.2336359427273868E-2</v>
      </c>
    </row>
    <row r="522" spans="22:76" ht="24" customHeight="1">
      <c r="V522" s="3">
        <f ca="1"/>
        <v>0.26266474619611191</v>
      </c>
      <c r="AG522">
        <f ca="1"/>
        <v>0.3694926891742798</v>
      </c>
      <c r="AH522">
        <f ca="1"/>
        <v>0.35581115791271073</v>
      </c>
      <c r="AI522">
        <f ca="1"/>
        <v>0.36710042962073619</v>
      </c>
      <c r="AJ522">
        <f ca="1"/>
        <v>0.40509842823842579</v>
      </c>
      <c r="AK522">
        <f ca="1"/>
        <v>0.37345208596376089</v>
      </c>
      <c r="AL522">
        <f ca="1"/>
        <v>0.34005844499780213</v>
      </c>
      <c r="AM522">
        <f ca="1"/>
        <v>0.36881810084873146</v>
      </c>
      <c r="AN522">
        <f ca="1"/>
        <v>0.38425854665380976</v>
      </c>
      <c r="AO522">
        <f ca="1"/>
        <v>0.42046547783692928</v>
      </c>
      <c r="BB522">
        <f ca="1"/>
        <v>0.58301223503266486</v>
      </c>
      <c r="BC522">
        <f ca="1"/>
        <v>0.52062715711397811</v>
      </c>
      <c r="BD522">
        <f ca="1"/>
        <v>0.27075501566339644</v>
      </c>
      <c r="BF522">
        <f ca="1"/>
        <v>0.8042722916922348</v>
      </c>
      <c r="BG522">
        <f ca="1"/>
        <v>0.4633788135133744</v>
      </c>
      <c r="BH522">
        <f ca="1"/>
        <v>0.53252124551789615</v>
      </c>
      <c r="BI522">
        <f ca="1"/>
        <v>1.1612963997791546</v>
      </c>
      <c r="BJ522">
        <f ca="1"/>
        <v>0.27481922028365269</v>
      </c>
      <c r="BK522">
        <f ca="1"/>
        <v>0.56811324907000837</v>
      </c>
      <c r="BL522">
        <f ca="1"/>
        <v>0.51861121245864439</v>
      </c>
      <c r="BM522">
        <f ca="1"/>
        <v>0.20849146260586432</v>
      </c>
      <c r="BN522">
        <f ca="1"/>
        <v>1.3403178773825579</v>
      </c>
      <c r="BP522">
        <f ca="1"/>
        <v>6.7869115631035606E-2</v>
      </c>
      <c r="BQ522">
        <f ca="1"/>
        <v>8.9376963551020497E-2</v>
      </c>
      <c r="BR522">
        <f ca="1"/>
        <v>8.2194081849845183E-2</v>
      </c>
      <c r="BS522">
        <f ca="1"/>
        <v>4.7325183141504079E-2</v>
      </c>
      <c r="BT522">
        <f ca="1"/>
        <v>9.79607301465448E-2</v>
      </c>
      <c r="BU522">
        <f ca="1"/>
        <v>8.4357139642913068E-2</v>
      </c>
      <c r="BV522">
        <f ca="1"/>
        <v>8.2608990071652552E-2</v>
      </c>
      <c r="BW522">
        <f ca="1"/>
        <v>0.10113414138472353</v>
      </c>
      <c r="BX522">
        <f ca="1"/>
        <v>3.8295776618310635E-2</v>
      </c>
    </row>
    <row r="523" spans="22:76" ht="24" customHeight="1">
      <c r="V523" s="1" cm="1">
        <f t="array" aca="1" ref="V523:V525" ca="1">X513:X515</f>
        <v>0.24670159573807379</v>
      </c>
      <c r="AG523">
        <f ca="1"/>
        <v>0.33911477234824022</v>
      </c>
      <c r="AH523">
        <f ca="1"/>
        <v>0.30206860154531595</v>
      </c>
      <c r="AI523">
        <f ca="1"/>
        <v>0.3091115621596715</v>
      </c>
      <c r="AJ523">
        <f ca="1"/>
        <v>0.34422247413394808</v>
      </c>
      <c r="AK523">
        <f ca="1"/>
        <v>0.31692488970783739</v>
      </c>
      <c r="AL523">
        <f ca="1"/>
        <v>0.33373954029055919</v>
      </c>
      <c r="AM523">
        <f ca="1"/>
        <v>0.3197636778536912</v>
      </c>
      <c r="AN523">
        <f ca="1"/>
        <v>0.33617406245747072</v>
      </c>
      <c r="AO523">
        <f ca="1"/>
        <v>0.39192397042711186</v>
      </c>
      <c r="BB523">
        <f ca="1"/>
        <v>0.36854929086457033</v>
      </c>
      <c r="BC523">
        <f ca="1"/>
        <v>0.12843460428202769</v>
      </c>
      <c r="BD523">
        <f ca="1"/>
        <v>9.415581815539921E-2</v>
      </c>
      <c r="BF523">
        <f ca="1"/>
        <v>0.3092482613648167</v>
      </c>
      <c r="BG523">
        <f ca="1"/>
        <v>0.17252318285273266</v>
      </c>
      <c r="BH523">
        <f ca="1"/>
        <v>0.2122189652297351</v>
      </c>
      <c r="BI523">
        <f ca="1"/>
        <v>0.4469236787407464</v>
      </c>
      <c r="BJ523">
        <f ca="1"/>
        <v>0.10776098973959571</v>
      </c>
      <c r="BK523">
        <f ca="1"/>
        <v>0.20514676638211785</v>
      </c>
      <c r="BL523">
        <f ca="1"/>
        <v>0.21095118296306881</v>
      </c>
      <c r="BM523">
        <f ca="1"/>
        <v>8.5488762195163104E-2</v>
      </c>
      <c r="BN523">
        <f ca="1"/>
        <v>0.51545875875711289</v>
      </c>
      <c r="BP523">
        <f ca="1"/>
        <v>4.137004424495519E-2</v>
      </c>
      <c r="BQ523">
        <f ca="1"/>
        <v>6.6820327618275208E-2</v>
      </c>
      <c r="BR523">
        <f ca="1"/>
        <v>5.9667114469598173E-2</v>
      </c>
      <c r="BS523">
        <f ca="1"/>
        <v>2.316563303973727E-2</v>
      </c>
      <c r="BT523">
        <f ca="1"/>
        <v>8.2889504934810981E-2</v>
      </c>
      <c r="BU523">
        <f ca="1"/>
        <v>5.8679648655537195E-2</v>
      </c>
      <c r="BV523">
        <f ca="1"/>
        <v>6.0731255535235312E-2</v>
      </c>
      <c r="BW523">
        <f ca="1"/>
        <v>8.9429004775431947E-2</v>
      </c>
      <c r="BX523">
        <f ca="1"/>
        <v>1.6784913892943776E-2</v>
      </c>
    </row>
    <row r="524" spans="22:76" ht="24" customHeight="1">
      <c r="V524" s="2">
        <f ca="1"/>
        <v>0.34788788393521219</v>
      </c>
      <c r="AG524">
        <f ca="1"/>
        <v>0.25186768309883423</v>
      </c>
      <c r="AH524">
        <f ca="1"/>
        <v>0.27189535795187086</v>
      </c>
      <c r="AI524">
        <f ca="1"/>
        <v>0.3056148504349912</v>
      </c>
      <c r="AJ524">
        <f ca="1"/>
        <v>0.26351372675713219</v>
      </c>
      <c r="AK524">
        <f ca="1"/>
        <v>0.28721135578690687</v>
      </c>
      <c r="AL524">
        <f ca="1"/>
        <v>0.26149254179443754</v>
      </c>
      <c r="AM524">
        <f ca="1"/>
        <v>0.2601211389933667</v>
      </c>
      <c r="AN524">
        <f ca="1"/>
        <v>0.2693518682999485</v>
      </c>
      <c r="AO524">
        <f ca="1"/>
        <v>0.26980510013350861</v>
      </c>
      <c r="BB524">
        <f ca="1"/>
        <v>2.1893520604469789</v>
      </c>
      <c r="BC524">
        <f ca="1"/>
        <v>1.1324572304740912</v>
      </c>
      <c r="BD524">
        <f ca="1"/>
        <v>0.64372700700265051</v>
      </c>
      <c r="BF524">
        <f ca="1"/>
        <v>2.1782900351461514</v>
      </c>
      <c r="BG524">
        <f ca="1"/>
        <v>1.2302008167732434</v>
      </c>
      <c r="BH524">
        <f ca="1"/>
        <v>1.4839494836505582</v>
      </c>
      <c r="BI524">
        <f ca="1"/>
        <v>3.146370921153264</v>
      </c>
      <c r="BJ524">
        <f ca="1"/>
        <v>0.75666313851879319</v>
      </c>
      <c r="BK524">
        <f ca="1"/>
        <v>1.4837763557091206</v>
      </c>
      <c r="BL524">
        <f ca="1"/>
        <v>1.4594034573094181</v>
      </c>
      <c r="BM524">
        <f ca="1"/>
        <v>0.58464616455235541</v>
      </c>
      <c r="BN524">
        <f ca="1"/>
        <v>3.6320520210717495</v>
      </c>
      <c r="BP524">
        <f ca="1"/>
        <v>0.2681640241609215</v>
      </c>
      <c r="BQ524">
        <f ca="1"/>
        <v>0.19242086414115267</v>
      </c>
      <c r="BR524">
        <f ca="1"/>
        <v>0.21283379174232364</v>
      </c>
      <c r="BS524">
        <f ca="1"/>
        <v>0.34450792285949483</v>
      </c>
      <c r="BT524">
        <f ca="1"/>
        <v>0.15860401177553207</v>
      </c>
      <c r="BU524">
        <f ca="1"/>
        <v>0.21076052896136777</v>
      </c>
      <c r="BV524">
        <f ca="1"/>
        <v>0.21164508789927314</v>
      </c>
      <c r="BW524">
        <f ca="1"/>
        <v>0.14731931916882846</v>
      </c>
      <c r="BX524">
        <f ca="1"/>
        <v>0.37882477486849092</v>
      </c>
    </row>
    <row r="525" spans="22:76" ht="24" customHeight="1">
      <c r="V525" s="3">
        <f ca="1"/>
        <v>0.41387919661199435</v>
      </c>
      <c r="AG525">
        <f ca="1"/>
        <v>0.40901754455292549</v>
      </c>
      <c r="AH525">
        <f ca="1"/>
        <v>0.42603604050281318</v>
      </c>
      <c r="AI525">
        <f ca="1"/>
        <v>0.38527358740533713</v>
      </c>
      <c r="AJ525">
        <f ca="1"/>
        <v>0.39226379910891973</v>
      </c>
      <c r="AK525">
        <f ca="1"/>
        <v>0.39586375450525574</v>
      </c>
      <c r="AL525">
        <f ca="1"/>
        <v>0.40476791791500327</v>
      </c>
      <c r="AM525">
        <f ca="1"/>
        <v>0.42011518315294194</v>
      </c>
      <c r="AN525">
        <f ca="1"/>
        <v>0.39447406924258077</v>
      </c>
      <c r="AO525">
        <f ca="1"/>
        <v>0.33827092943937959</v>
      </c>
    </row>
    <row r="526" spans="22:76" ht="24" customHeight="1">
      <c r="BF526" cm="1">
        <f t="array" aca="1" ref="BF526:BN528" ca="1">BP506:BX508</f>
        <v>0.61687893480028655</v>
      </c>
      <c r="BG526">
        <f ca="1"/>
        <v>0.26374363811356993</v>
      </c>
      <c r="BH526">
        <f ca="1"/>
        <v>0.35317870840032628</v>
      </c>
      <c r="BI526">
        <f ca="1"/>
        <v>0.75532587281139274</v>
      </c>
      <c r="BJ526">
        <f ca="1"/>
        <v>0.17636238217102654</v>
      </c>
      <c r="BK526">
        <f ca="1"/>
        <v>0.33594923380331532</v>
      </c>
      <c r="BL526">
        <f ca="1"/>
        <v>0.38421446223440736</v>
      </c>
      <c r="BM526">
        <f ca="1"/>
        <v>0.19687791154281364</v>
      </c>
      <c r="BN526">
        <f ca="1"/>
        <v>0.95000985392913873</v>
      </c>
      <c r="BP526" cm="1">
        <f t="array" aca="1" ref="BP526:BX528" ca="1">MMULT(_xlfn.ANCHORARRAY(BF526),BP516:BX524)</f>
        <v>0.61825155910480656</v>
      </c>
      <c r="BQ526">
        <f ca="1"/>
        <v>0.54130423289405938</v>
      </c>
      <c r="BR526">
        <f ca="1"/>
        <v>0.56129818349555594</v>
      </c>
      <c r="BS526">
        <f ca="1"/>
        <v>0.6909986247199742</v>
      </c>
      <c r="BT526">
        <f ca="1"/>
        <v>0.50316410514695098</v>
      </c>
      <c r="BU526">
        <f ca="1"/>
        <v>0.56269428742980665</v>
      </c>
      <c r="BV526">
        <f ca="1"/>
        <v>0.55882428379738358</v>
      </c>
      <c r="BW526">
        <f ca="1"/>
        <v>0.48959271148187278</v>
      </c>
      <c r="BX526">
        <f ca="1"/>
        <v>0.72245625172929029</v>
      </c>
    </row>
    <row r="527" spans="22:76" ht="24" customHeight="1">
      <c r="AG527" s="1" cm="1">
        <f t="array" aca="1" ref="AG527:AG535" ca="1">_xlfn.LET(_xlpm.x,_xlfn.ANCHORARRAY( AG517), _xlpm.r, _xlfn.WRAPCOLS(_xlpm.x,3), _xlpm.s, _xlfn.BYROW(_xlpm.r,_xleta.SUM), _xlfn.TOCOL(_xlpm.r/_xlpm.s))</f>
        <v>0.24303552321529584</v>
      </c>
      <c r="AH527" s="1" cm="1">
        <f t="array" aca="1" ref="AH527:AH535" ca="1">_xlfn.LET(_xlpm.x,_xlfn.ANCHORARRAY( AH517), _xlpm.r, _xlfn.WRAPCOLS(_xlpm.x,3), _xlpm.s, _xlfn.BYROW(_xlpm.r,_xleta.SUM), _xlfn.TOCOL(_xlpm.r/_xlpm.s))</f>
        <v>0.26030331432675236</v>
      </c>
      <c r="AI527" s="1" cm="1">
        <f t="array" aca="1" ref="AI527:AI535" ca="1">_xlfn.LET(_xlpm.x,_xlfn.ANCHORARRAY( AI517), _xlpm.r, _xlfn.WRAPCOLS(_xlpm.x,3), _xlpm.s, _xlfn.BYROW(_xlpm.r,_xleta.SUM), _xlfn.TOCOL(_xlpm.r/_xlpm.s))</f>
        <v>0.25277626488982724</v>
      </c>
      <c r="AJ527" s="1" cm="1">
        <f t="array" aca="1" ref="AJ527:AJ535" ca="1">_xlfn.LET(_xlpm.x,_xlfn.ANCHORARRAY( AJ517), _xlpm.r, _xlfn.WRAPCOLS(_xlpm.x,3), _xlpm.s, _xlfn.BYROW(_xlpm.r,_xleta.SUM), _xlfn.TOCOL(_xlpm.r/_xlpm.s))</f>
        <v>0.26905465605590223</v>
      </c>
      <c r="AK527" s="1" cm="1">
        <f t="array" aca="1" ref="AK527:AK535" ca="1">_xlfn.LET(_xlpm.x,_xlfn.ANCHORARRAY( AK517), _xlpm.r, _xlfn.WRAPCOLS(_xlpm.x,3), _xlpm.s, _xlfn.BYROW(_xlpm.r,_xleta.SUM), _xlfn.TOCOL(_xlpm.r/_xlpm.s))</f>
        <v>0.26991448864746015</v>
      </c>
      <c r="AL527" s="1" cm="1">
        <f t="array" aca="1" ref="AL527:AL535" ca="1">_xlfn.LET(_xlpm.x,_xlfn.ANCHORARRAY( AL517), _xlpm.r, _xlfn.WRAPCOLS(_xlpm.x,3), _xlpm.s, _xlfn.BYROW(_xlpm.r,_xleta.SUM), _xlfn.TOCOL(_xlpm.r/_xlpm.s))</f>
        <v>0.25113609329667991</v>
      </c>
      <c r="AM527" s="1" cm="1">
        <f t="array" aca="1" ref="AM527:AM535" ca="1">_xlfn.LET(_xlpm.x,_xlfn.ANCHORARRAY( AM517), _xlpm.r, _xlfn.WRAPCOLS(_xlpm.x,3), _xlpm.s, _xlfn.BYROW(_xlpm.r,_xleta.SUM), _xlfn.TOCOL(_xlpm.r/_xlpm.s))</f>
        <v>0.2400941399463413</v>
      </c>
      <c r="AN527" s="1" cm="1">
        <f t="array" aca="1" ref="AN527:AN535" ca="1">_xlfn.LET(_xlpm.x,_xlfn.ANCHORARRAY( AN517), _xlpm.r, _xlfn.WRAPCOLS(_xlpm.x,3), _xlpm.s, _xlfn.BYROW(_xlpm.r,_xleta.SUM), _xlfn.TOCOL(_xlpm.r/_xlpm.s))</f>
        <v>0.26469152549168967</v>
      </c>
      <c r="AO527" s="1" cm="1">
        <f t="array" aca="1" ref="AO527:AO535" ca="1">_xlfn.LET(_xlpm.x,_xlfn.ANCHORARRAY( AO517), _xlpm.r, _xlfn.WRAPCOLS(_xlpm.x,3), _xlpm.s, _xlfn.BYROW(_xlpm.r,_xleta.SUM), _xlfn.TOCOL(_xlpm.r/_xlpm.s))</f>
        <v>0.24839941566603832</v>
      </c>
      <c r="BF527">
        <f ca="1"/>
        <v>0.71034426940762851</v>
      </c>
      <c r="BG527">
        <f ca="1"/>
        <v>0.37321634512900148</v>
      </c>
      <c r="BH527">
        <f ca="1"/>
        <v>0.34751904730721178</v>
      </c>
      <c r="BI527">
        <f ca="1"/>
        <v>0.84936613217364976</v>
      </c>
      <c r="BJ527">
        <f ca="1"/>
        <v>0.1572481818970877</v>
      </c>
      <c r="BK527">
        <f ca="1"/>
        <v>0.60088402299753141</v>
      </c>
      <c r="BL527">
        <f ca="1"/>
        <v>0.3458353209200673</v>
      </c>
      <c r="BM527">
        <f ca="1"/>
        <v>0.28194663323237196</v>
      </c>
      <c r="BN527">
        <f ca="1"/>
        <v>1.1755364538630666</v>
      </c>
      <c r="BP527">
        <f ca="1"/>
        <v>0.74086332432043644</v>
      </c>
      <c r="BQ527">
        <f ca="1"/>
        <v>0.64889512860197851</v>
      </c>
      <c r="BR527">
        <f ca="1"/>
        <v>0.67393869312486365</v>
      </c>
      <c r="BS527">
        <f ca="1"/>
        <v>0.8270776368839774</v>
      </c>
      <c r="BT527">
        <f ca="1"/>
        <v>0.60416677499156979</v>
      </c>
      <c r="BU527">
        <f ca="1"/>
        <v>0.67368885228324704</v>
      </c>
      <c r="BV527">
        <f ca="1"/>
        <v>0.67134940606451077</v>
      </c>
      <c r="BW527">
        <f ca="1"/>
        <v>0.58818210640099955</v>
      </c>
      <c r="BX527">
        <f ca="1"/>
        <v>0.86423746358875153</v>
      </c>
    </row>
    <row r="528" spans="22:76" ht="24" customHeight="1">
      <c r="AG528" s="2">
        <f ca="1"/>
        <v>0.41645398692778329</v>
      </c>
      <c r="AH528" s="2">
        <f ca="1"/>
        <v>0.43701614601464733</v>
      </c>
      <c r="AI528" s="2">
        <f ca="1"/>
        <v>0.43362766768201161</v>
      </c>
      <c r="AJ528" s="2">
        <f ca="1"/>
        <v>0.38689936295937072</v>
      </c>
      <c r="AK528" s="2">
        <f ca="1"/>
        <v>0.41288665126504293</v>
      </c>
      <c r="AL528" s="2">
        <f ca="1"/>
        <v>0.41709918967586135</v>
      </c>
      <c r="AM528" s="2">
        <f ca="1"/>
        <v>0.43775618326544291</v>
      </c>
      <c r="AN528" s="2">
        <f ca="1"/>
        <v>0.4021918100556327</v>
      </c>
      <c r="AO528" s="2">
        <f ca="1"/>
        <v>0.36438215197686769</v>
      </c>
      <c r="BF528">
        <f ca="1"/>
        <v>1.2285881880833747</v>
      </c>
      <c r="BG528">
        <f ca="1"/>
        <v>0.61187377609109417</v>
      </c>
      <c r="BH528">
        <f ca="1"/>
        <v>0.63384285015363762</v>
      </c>
      <c r="BI528">
        <f ca="1"/>
        <v>1.4811441876596976</v>
      </c>
      <c r="BJ528">
        <f ca="1"/>
        <v>0.33393264359121821</v>
      </c>
      <c r="BK528">
        <f ca="1"/>
        <v>0.90774810880315659</v>
      </c>
      <c r="BL528">
        <f ca="1"/>
        <v>0.59898514084172594</v>
      </c>
      <c r="BM528">
        <f ca="1"/>
        <v>0.28573573257992457</v>
      </c>
      <c r="BN528">
        <f ca="1"/>
        <v>1.895364425220913</v>
      </c>
      <c r="BP528">
        <f ca="1"/>
        <v>1.231109065177203</v>
      </c>
      <c r="BQ528">
        <f ca="1"/>
        <v>1.0761905621537253</v>
      </c>
      <c r="BR528">
        <f ca="1"/>
        <v>1.1178200730982086</v>
      </c>
      <c r="BS528">
        <f ca="1"/>
        <v>1.3754977888278503</v>
      </c>
      <c r="BT528">
        <f ca="1"/>
        <v>0.99962072096163179</v>
      </c>
      <c r="BU528">
        <f ca="1"/>
        <v>1.1187514055871761</v>
      </c>
      <c r="BV528">
        <f ca="1"/>
        <v>1.1131082718070715</v>
      </c>
      <c r="BW528">
        <f ca="1"/>
        <v>0.97209029737455344</v>
      </c>
      <c r="BX528">
        <f ca="1"/>
        <v>1.4374786764677072</v>
      </c>
    </row>
    <row r="529" spans="33:76" ht="24" customHeight="1">
      <c r="AG529" s="3">
        <f ca="1"/>
        <v>0.34051048985692089</v>
      </c>
      <c r="AH529" s="3">
        <f ca="1"/>
        <v>0.3026805396586002</v>
      </c>
      <c r="AI529" s="3">
        <f ca="1"/>
        <v>0.31359606742816115</v>
      </c>
      <c r="AJ529" s="3">
        <f ca="1"/>
        <v>0.34404598098472694</v>
      </c>
      <c r="AK529" s="3">
        <f ca="1"/>
        <v>0.31719886008749693</v>
      </c>
      <c r="AL529" s="3">
        <f ca="1"/>
        <v>0.33176471702745863</v>
      </c>
      <c r="AM529" s="3">
        <f ca="1"/>
        <v>0.32214967678821577</v>
      </c>
      <c r="AN529" s="3">
        <f ca="1"/>
        <v>0.33311666445267757</v>
      </c>
      <c r="AO529" s="3">
        <f ca="1"/>
        <v>0.38721843235709397</v>
      </c>
    </row>
    <row r="530" spans="33:76" ht="24" customHeight="1">
      <c r="AG530" s="1">
        <f ca="1"/>
        <v>0.52802348861249981</v>
      </c>
      <c r="AH530" s="1">
        <f ca="1"/>
        <v>0.51031371582138918</v>
      </c>
      <c r="AI530" s="1">
        <f ca="1"/>
        <v>0.4948956306770575</v>
      </c>
      <c r="AJ530" s="1">
        <f ca="1"/>
        <v>0.52442296127780141</v>
      </c>
      <c r="AK530" s="1">
        <f ca="1"/>
        <v>0.49531453550338123</v>
      </c>
      <c r="AL530" s="1">
        <f ca="1"/>
        <v>0.49076229132540594</v>
      </c>
      <c r="AM530" s="1">
        <f ca="1"/>
        <v>0.54130591969793074</v>
      </c>
      <c r="AN530" s="1">
        <f ca="1"/>
        <v>0.51115728125443916</v>
      </c>
      <c r="AO530" s="1">
        <f ca="1"/>
        <v>0.51198109715208107</v>
      </c>
    </row>
    <row r="531" spans="33:76" ht="24" customHeight="1">
      <c r="AG531" s="2">
        <f ca="1"/>
        <v>0.2177666948498713</v>
      </c>
      <c r="AH531" s="2">
        <f ca="1"/>
        <v>0.21227616113264455</v>
      </c>
      <c r="AI531" s="2">
        <f ca="1"/>
        <v>0.20306739258499951</v>
      </c>
      <c r="AJ531" s="2">
        <f ca="1"/>
        <v>0.20968177967834287</v>
      </c>
      <c r="AK531" s="2">
        <f ca="1"/>
        <v>0.2154936416091206</v>
      </c>
      <c r="AL531" s="2">
        <f ca="1"/>
        <v>0.24389687553687578</v>
      </c>
      <c r="AM531" s="2">
        <f ca="1"/>
        <v>0.19748813517618488</v>
      </c>
      <c r="AN531" s="2">
        <f ca="1"/>
        <v>0.21407661694418692</v>
      </c>
      <c r="AO531" s="2">
        <f ca="1"/>
        <v>0.21400866044984276</v>
      </c>
    </row>
    <row r="532" spans="33:76" ht="24" customHeight="1">
      <c r="AG532" s="3">
        <f ca="1"/>
        <v>0.25420981653762886</v>
      </c>
      <c r="AH532" s="3">
        <f ca="1"/>
        <v>0.27741012304596618</v>
      </c>
      <c r="AI532" s="3">
        <f ca="1"/>
        <v>0.30203697673794311</v>
      </c>
      <c r="AJ532" s="3">
        <f ca="1"/>
        <v>0.26589525904385564</v>
      </c>
      <c r="AK532" s="3">
        <f ca="1"/>
        <v>0.28919182288749806</v>
      </c>
      <c r="AL532" s="3">
        <f ca="1"/>
        <v>0.26534083313771822</v>
      </c>
      <c r="AM532" s="3">
        <f ca="1"/>
        <v>0.26120594512588441</v>
      </c>
      <c r="AN532" s="3">
        <f ca="1"/>
        <v>0.27476610180137395</v>
      </c>
      <c r="AO532" s="3">
        <f ca="1"/>
        <v>0.27401024239807609</v>
      </c>
      <c r="BP532" cm="1">
        <f t="array" aca="1" ref="BP532:BX534" ca="1">_xlfn.ANCHORARRAY(BP526)</f>
        <v>0.61825155910480656</v>
      </c>
      <c r="BQ532">
        <f ca="1"/>
        <v>0.54130423289405938</v>
      </c>
      <c r="BR532">
        <f ca="1"/>
        <v>0.56129818349555594</v>
      </c>
      <c r="BS532">
        <f ca="1"/>
        <v>0.6909986247199742</v>
      </c>
      <c r="BT532">
        <f ca="1"/>
        <v>0.50316410514695098</v>
      </c>
      <c r="BU532">
        <f ca="1"/>
        <v>0.56269428742980665</v>
      </c>
      <c r="BV532">
        <f ca="1"/>
        <v>0.55882428379738358</v>
      </c>
      <c r="BW532">
        <f ca="1"/>
        <v>0.48959271148187278</v>
      </c>
      <c r="BX532">
        <f ca="1"/>
        <v>0.72245625172929029</v>
      </c>
    </row>
    <row r="533" spans="33:76" ht="24" customHeight="1">
      <c r="AG533" s="1">
        <f ca="1"/>
        <v>0.23171736317446151</v>
      </c>
      <c r="AH533" s="1">
        <f ca="1"/>
        <v>0.23490920447227437</v>
      </c>
      <c r="AI533" s="1">
        <f ca="1"/>
        <v>0.24946812323722664</v>
      </c>
      <c r="AJ533" s="1">
        <f ca="1"/>
        <v>0.20931405811575363</v>
      </c>
      <c r="AK533" s="1">
        <f ca="1"/>
        <v>0.23657171833018129</v>
      </c>
      <c r="AL533" s="1">
        <f ca="1"/>
        <v>0.26148844217837153</v>
      </c>
      <c r="AM533" s="1">
        <f ca="1"/>
        <v>0.22008222241542003</v>
      </c>
      <c r="AN533" s="1">
        <f ca="1"/>
        <v>0.22937949174000596</v>
      </c>
      <c r="AO533" s="1">
        <f ca="1"/>
        <v>0.24367966314005707</v>
      </c>
      <c r="BP533">
        <f ca="1"/>
        <v>0.74086332432043644</v>
      </c>
      <c r="BQ533">
        <f ca="1"/>
        <v>0.64889512860197851</v>
      </c>
      <c r="BR533">
        <f ca="1"/>
        <v>0.67393869312486365</v>
      </c>
      <c r="BS533">
        <f ca="1"/>
        <v>0.8270776368839774</v>
      </c>
      <c r="BT533">
        <f ca="1"/>
        <v>0.60416677499156979</v>
      </c>
      <c r="BU533">
        <f ca="1"/>
        <v>0.67368885228324704</v>
      </c>
      <c r="BV533">
        <f ca="1"/>
        <v>0.67134940606451077</v>
      </c>
      <c r="BW533">
        <f ca="1"/>
        <v>0.58818210640099955</v>
      </c>
      <c r="BX533">
        <f ca="1"/>
        <v>0.86423746358875153</v>
      </c>
    </row>
    <row r="534" spans="33:76" ht="24" customHeight="1">
      <c r="AG534" s="2">
        <f ca="1"/>
        <v>0.36463851755357429</v>
      </c>
      <c r="AH534" s="2">
        <f ca="1"/>
        <v>0.34818547974178149</v>
      </c>
      <c r="AI534" s="2">
        <f ca="1"/>
        <v>0.36620160740362656</v>
      </c>
      <c r="AJ534" s="2">
        <f ca="1"/>
        <v>0.40170655356112889</v>
      </c>
      <c r="AK534" s="2">
        <f ca="1"/>
        <v>0.37059406459056998</v>
      </c>
      <c r="AL534" s="2">
        <f ca="1"/>
        <v>0.33717535317037012</v>
      </c>
      <c r="AM534" s="2">
        <f ca="1"/>
        <v>0.36460344541161227</v>
      </c>
      <c r="AN534" s="2">
        <f ca="1"/>
        <v>0.38025570071281511</v>
      </c>
      <c r="AO534" s="2">
        <f ca="1"/>
        <v>0.41912657516616947</v>
      </c>
      <c r="BP534">
        <f ca="1"/>
        <v>1.231109065177203</v>
      </c>
      <c r="BQ534">
        <f ca="1"/>
        <v>1.0761905621537253</v>
      </c>
      <c r="BR534">
        <f ca="1"/>
        <v>1.1178200730982086</v>
      </c>
      <c r="BS534">
        <f ca="1"/>
        <v>1.3754977888278503</v>
      </c>
      <c r="BT534">
        <f ca="1"/>
        <v>0.99962072096163179</v>
      </c>
      <c r="BU534">
        <f ca="1"/>
        <v>1.1187514055871761</v>
      </c>
      <c r="BV534">
        <f ca="1"/>
        <v>1.1131082718070715</v>
      </c>
      <c r="BW534">
        <f ca="1"/>
        <v>0.97209029737455344</v>
      </c>
      <c r="BX534">
        <f ca="1"/>
        <v>1.4374786764677072</v>
      </c>
    </row>
    <row r="535" spans="33:76" ht="24" customHeight="1">
      <c r="AG535" s="3">
        <f ca="1"/>
        <v>0.4036441192719642</v>
      </c>
      <c r="AH535" s="3">
        <f ca="1"/>
        <v>0.41690531578594403</v>
      </c>
      <c r="AI535" s="3">
        <f ca="1"/>
        <v>0.38433026935914683</v>
      </c>
      <c r="AJ535" s="3">
        <f ca="1"/>
        <v>0.38897938832311751</v>
      </c>
      <c r="AK535" s="3">
        <f ca="1"/>
        <v>0.39283421707924865</v>
      </c>
      <c r="AL535" s="3">
        <f ca="1"/>
        <v>0.40133620465125841</v>
      </c>
      <c r="AM535" s="3">
        <f ca="1"/>
        <v>0.4153143321729677</v>
      </c>
      <c r="AN535" s="3">
        <f ca="1"/>
        <v>0.39036480754717884</v>
      </c>
      <c r="AO535" s="3">
        <f ca="1"/>
        <v>0.33719376169377352</v>
      </c>
    </row>
    <row r="536" spans="33:76" ht="24" customHeight="1">
      <c r="BL536" s="7" cm="1">
        <f t="array" aca="1" ref="BL536:BN540" ca="1">_xlfn.RANDARRAY(5,3)</f>
        <v>0.74110969417209316</v>
      </c>
      <c r="BM536" s="7">
        <f ca="1"/>
        <v>0.37094649529469859</v>
      </c>
      <c r="BN536" s="7">
        <f ca="1"/>
        <v>0.9525816910616185</v>
      </c>
      <c r="BP536" s="1" cm="1">
        <f t="array" aca="1" ref="BP536:BX540" ca="1">MMULT(_xlfn.ANCHORARRAY(BL536),_xlfn.ANCHORARRAY(BP532))</f>
        <v>1.9057448327264168</v>
      </c>
      <c r="BQ536" s="1">
        <f ca="1"/>
        <v>1.667030613863832</v>
      </c>
      <c r="BR536" s="1">
        <f ca="1"/>
        <v>1.730793656902414</v>
      </c>
      <c r="BS536" s="1">
        <f ca="1"/>
        <v>2.1291813399114403</v>
      </c>
      <c r="BT536" s="1">
        <f ca="1"/>
        <v>1.5492337406343208</v>
      </c>
      <c r="BU536" s="1">
        <f ca="1"/>
        <v>1.7326228157548611</v>
      </c>
      <c r="BV536" s="1">
        <f ca="1"/>
        <v>1.7235113632514816</v>
      </c>
      <c r="BW536" s="1">
        <f ca="1"/>
        <v>1.5070214149773646</v>
      </c>
      <c r="BX536" s="1">
        <f ca="1"/>
        <v>2.2253210584870642</v>
      </c>
    </row>
    <row r="537" spans="33:76" ht="24" customHeight="1">
      <c r="BL537" s="7">
        <f ca="1"/>
        <v>0.90076206352136756</v>
      </c>
      <c r="BM537" s="7">
        <f ca="1"/>
        <v>0.21363336019467383</v>
      </c>
      <c r="BN537" s="7">
        <f ca="1"/>
        <v>0.53185947813856194</v>
      </c>
      <c r="BP537" s="2">
        <f ca="1"/>
        <v>1.3699476965109196</v>
      </c>
      <c r="BQ537" s="2">
        <f ca="1"/>
        <v>1.1985941153164255</v>
      </c>
      <c r="BR537" s="2">
        <f ca="1"/>
        <v>1.2440950983245465</v>
      </c>
      <c r="BS537" s="2">
        <f ca="1"/>
        <v>1.5306882579493117</v>
      </c>
      <c r="BT537" s="2">
        <f ca="1"/>
        <v>1.1139590708886249</v>
      </c>
      <c r="BU537" s="2">
        <f ca="1"/>
        <v>1.2457946194582996</v>
      </c>
      <c r="BV537" s="2">
        <f ca="1"/>
        <v>1.2388075290564671</v>
      </c>
      <c r="BW537" s="2">
        <f ca="1"/>
        <v>1.0836772991414494</v>
      </c>
      <c r="BX537" s="2">
        <f ca="1"/>
        <v>1.5999277961656007</v>
      </c>
    </row>
    <row r="538" spans="33:76" ht="24" customHeight="1">
      <c r="BL538" s="7">
        <f ca="1"/>
        <v>0.10968155617535746</v>
      </c>
      <c r="BM538" s="7">
        <f ca="1"/>
        <v>9.3454068538960655E-3</v>
      </c>
      <c r="BN538" s="7">
        <f ca="1"/>
        <v>0.83496176710606607</v>
      </c>
      <c r="BP538" s="2">
        <f ca="1"/>
        <v>1.1026634628600152</v>
      </c>
      <c r="BQ538" s="2">
        <f ca="1"/>
        <v>0.96401325312917041</v>
      </c>
      <c r="BR538" s="2">
        <f ca="1"/>
        <v>1.0011993130667409</v>
      </c>
      <c r="BS538" s="2">
        <f ca="1"/>
        <v>1.2320072459009468</v>
      </c>
      <c r="BT538" s="2">
        <f ca="1"/>
        <v>0.89547908999396508</v>
      </c>
      <c r="BU538" s="2">
        <f ca="1"/>
        <v>1.0021277320752702</v>
      </c>
      <c r="BV538" s="2">
        <f ca="1"/>
        <v>0.9969696000246826</v>
      </c>
      <c r="BW538" s="2">
        <f ca="1"/>
        <v>0.87085432405846186</v>
      </c>
      <c r="BX538" s="2">
        <f ca="1"/>
        <v>1.2875565125546664</v>
      </c>
    </row>
    <row r="539" spans="33:76" ht="24" customHeight="1">
      <c r="BL539" s="7">
        <f ca="1"/>
        <v>0.37934250428737659</v>
      </c>
      <c r="BM539" s="7">
        <f ca="1"/>
        <v>0.41644142936984219</v>
      </c>
      <c r="BN539" s="7">
        <f ca="1"/>
        <v>0.43527502769397097</v>
      </c>
      <c r="BP539" s="2">
        <f ca="1"/>
        <v>1.0789263088973935</v>
      </c>
      <c r="BQ539" s="2">
        <f ca="1"/>
        <v>0.94400539489897828</v>
      </c>
      <c r="BR539" s="2">
        <f ca="1"/>
        <v>0.98013941452642062</v>
      </c>
      <c r="BS539" s="2">
        <f ca="1"/>
        <v>1.2052743801892414</v>
      </c>
      <c r="BT539" s="2">
        <f ca="1"/>
        <v>0.87758154406925992</v>
      </c>
      <c r="BU539" s="2">
        <f ca="1"/>
        <v>0.98097035778681463</v>
      </c>
      <c r="BV539" s="2">
        <f ca="1"/>
        <v>0.97607174337760982</v>
      </c>
      <c r="BW539" s="2">
        <f ca="1"/>
        <v>0.85379335348452678</v>
      </c>
      <c r="BX539" s="2">
        <f ca="1"/>
        <v>1.2596612191299008</v>
      </c>
    </row>
    <row r="540" spans="33:76" ht="24" customHeight="1">
      <c r="BL540" s="7">
        <f ca="1"/>
        <v>0.25357947054866403</v>
      </c>
      <c r="BM540" s="7">
        <f ca="1"/>
        <v>0.33262023439258903</v>
      </c>
      <c r="BN540" s="7">
        <f ca="1"/>
        <v>0.52125433100726148</v>
      </c>
      <c r="BP540" s="3">
        <f ca="1"/>
        <v>1.044922967777937</v>
      </c>
      <c r="BQ540" s="3">
        <f ca="1"/>
        <v>0.9140682820665943</v>
      </c>
      <c r="BR540" s="3">
        <f ca="1"/>
        <v>0.94916789665345214</v>
      </c>
      <c r="BS540" s="3">
        <f ca="1"/>
        <v>1.1673100025649918</v>
      </c>
      <c r="BT540" s="3">
        <f ca="1"/>
        <v>0.84960681185801845</v>
      </c>
      <c r="BU540" s="3">
        <f ca="1"/>
        <v>0.94992427892411291</v>
      </c>
      <c r="BV540" s="3">
        <f ca="1"/>
        <v>0.94522327037902398</v>
      </c>
      <c r="BW540" s="3">
        <f ca="1"/>
        <v>0.82649820829530807</v>
      </c>
      <c r="BX540" s="3">
        <f ca="1"/>
        <v>1.2199549273572114</v>
      </c>
    </row>
    <row r="544" spans="33:76" ht="24" customHeight="1">
      <c r="AZ544" s="7" cm="1">
        <f t="array" aca="1" ref="AZ544:BN546" ca="1">_xlfn.RANDARRAY(3,5*3)</f>
        <v>0.83763023769621103</v>
      </c>
      <c r="BA544" s="7">
        <f ca="1"/>
        <v>0.33303430283829405</v>
      </c>
      <c r="BB544" s="7">
        <f ca="1"/>
        <v>0.78347644804842842</v>
      </c>
      <c r="BC544" s="7">
        <f ca="1"/>
        <v>0.27156294127770653</v>
      </c>
      <c r="BD544" s="7">
        <f ca="1"/>
        <v>0.49993183629752846</v>
      </c>
      <c r="BE544" s="7">
        <f ca="1"/>
        <v>0.99659856958799131</v>
      </c>
      <c r="BF544" s="7">
        <f ca="1"/>
        <v>0.17582162076665253</v>
      </c>
      <c r="BG544" s="7">
        <f ca="1"/>
        <v>0.91461355329452365</v>
      </c>
      <c r="BH544" s="7">
        <f ca="1"/>
        <v>7.5530100605460282E-2</v>
      </c>
      <c r="BI544" s="7">
        <f ca="1"/>
        <v>0.69571040984487209</v>
      </c>
      <c r="BJ544" s="7">
        <f ca="1"/>
        <v>0.11310512110625437</v>
      </c>
      <c r="BK544" s="7">
        <f ca="1"/>
        <v>7.5568745577132779E-2</v>
      </c>
      <c r="BL544" s="7">
        <f ca="1"/>
        <v>0.76234924686290073</v>
      </c>
      <c r="BM544" s="7">
        <f ca="1"/>
        <v>0.12828930054091048</v>
      </c>
      <c r="BN544" s="7">
        <f ca="1"/>
        <v>0.38041844631977462</v>
      </c>
      <c r="BP544" cm="1">
        <f t="array" aca="1" ref="BP544:BX546" ca="1">MMULT(_xlfn.ANCHORARRAY(AZ544),_xlfn.ANCHORARRAY(BP461))</f>
        <v>1.5493349884650649</v>
      </c>
      <c r="BQ544">
        <f ca="1"/>
        <v>1.3844087652417789</v>
      </c>
      <c r="BR544">
        <f ca="1"/>
        <v>1.1547823684746763</v>
      </c>
      <c r="BS544">
        <f ca="1"/>
        <v>2.3325980088858</v>
      </c>
      <c r="BT544">
        <f ca="1"/>
        <v>0.56628817214354721</v>
      </c>
      <c r="BU544">
        <f ca="1"/>
        <v>1.8586804280185361</v>
      </c>
      <c r="BV544">
        <f ca="1"/>
        <v>0.98502391518061905</v>
      </c>
      <c r="BW544">
        <f ca="1"/>
        <v>0.47111809791620674</v>
      </c>
      <c r="BX544">
        <f ca="1"/>
        <v>2.9314459103268611</v>
      </c>
    </row>
    <row r="545" spans="52:76" ht="24" customHeight="1">
      <c r="AZ545" s="7">
        <f ca="1"/>
        <v>0.44449713758004816</v>
      </c>
      <c r="BA545" s="7">
        <f ca="1"/>
        <v>0.99131627170271153</v>
      </c>
      <c r="BB545" s="7">
        <f ca="1"/>
        <v>0.47623652731609245</v>
      </c>
      <c r="BC545" s="7">
        <f ca="1"/>
        <v>0.60131643668671941</v>
      </c>
      <c r="BD545" s="7">
        <f ca="1"/>
        <v>0.74294594700943328</v>
      </c>
      <c r="BE545" s="7">
        <f ca="1"/>
        <v>0.74657768663391155</v>
      </c>
      <c r="BF545" s="7">
        <f ca="1"/>
        <v>4.4973466428686049E-3</v>
      </c>
      <c r="BG545" s="7">
        <f ca="1"/>
        <v>0.46917689069867619</v>
      </c>
      <c r="BH545" s="7">
        <f ca="1"/>
        <v>0.74229296806728606</v>
      </c>
      <c r="BI545" s="7">
        <f ca="1"/>
        <v>0.3084895939585206</v>
      </c>
      <c r="BJ545" s="7">
        <f ca="1"/>
        <v>0.28562901882772063</v>
      </c>
      <c r="BK545" s="7">
        <f ca="1"/>
        <v>0.31958994389488304</v>
      </c>
      <c r="BL545" s="7">
        <f ca="1"/>
        <v>0.13687466965375394</v>
      </c>
      <c r="BM545" s="7">
        <f ca="1"/>
        <v>9.045827508405635E-2</v>
      </c>
      <c r="BN545" s="7">
        <f ca="1"/>
        <v>0.65977552066752043</v>
      </c>
      <c r="BP545">
        <f ca="1"/>
        <v>2.1002537553559937</v>
      </c>
      <c r="BQ545">
        <f ca="1"/>
        <v>1.8149146378700043</v>
      </c>
      <c r="BR545">
        <f ca="1"/>
        <v>2.2334406023292592</v>
      </c>
      <c r="BS545">
        <f ca="1"/>
        <v>2.5600626743069523</v>
      </c>
      <c r="BT545">
        <f ca="1"/>
        <v>1.0778316852579748</v>
      </c>
      <c r="BU545">
        <f ca="1"/>
        <v>1.5611697756680702</v>
      </c>
      <c r="BV545">
        <f ca="1"/>
        <v>1.9440526379128416</v>
      </c>
      <c r="BW545">
        <f ca="1"/>
        <v>0.70759321895234339</v>
      </c>
      <c r="BX545">
        <f ca="1"/>
        <v>3.1849043374367678</v>
      </c>
    </row>
    <row r="546" spans="52:76" ht="24" customHeight="1">
      <c r="AZ546" s="7">
        <f ca="1"/>
        <v>0.24403416778890308</v>
      </c>
      <c r="BA546" s="7">
        <f ca="1"/>
        <v>0.1372735776677696</v>
      </c>
      <c r="BB546" s="7">
        <f ca="1"/>
        <v>0.23765949654530538</v>
      </c>
      <c r="BC546" s="7">
        <f ca="1"/>
        <v>1.2402309466879924E-2</v>
      </c>
      <c r="BD546" s="7">
        <f ca="1"/>
        <v>0.23956460966706605</v>
      </c>
      <c r="BE546" s="7">
        <f ca="1"/>
        <v>0.92423020557292812</v>
      </c>
      <c r="BF546" s="7">
        <f ca="1"/>
        <v>0.74899489492648019</v>
      </c>
      <c r="BG546" s="7">
        <f ca="1"/>
        <v>4.3150088151675536E-3</v>
      </c>
      <c r="BH546" s="7">
        <f ca="1"/>
        <v>0.80569972340299345</v>
      </c>
      <c r="BI546" s="7">
        <f ca="1"/>
        <v>0.56305480268935715</v>
      </c>
      <c r="BJ546" s="7">
        <f ca="1"/>
        <v>0.13919772974235611</v>
      </c>
      <c r="BK546" s="7">
        <f ca="1"/>
        <v>0.750590690546725</v>
      </c>
      <c r="BL546" s="7">
        <f ca="1"/>
        <v>0.62983962753396483</v>
      </c>
      <c r="BM546" s="7">
        <f ca="1"/>
        <v>0.61024871508508327</v>
      </c>
      <c r="BN546" s="7">
        <f ca="1"/>
        <v>6.1441595037711405E-2</v>
      </c>
      <c r="BP546">
        <f ca="1"/>
        <v>2.4468100156606645</v>
      </c>
      <c r="BQ546">
        <f ca="1"/>
        <v>1.1419009692505624</v>
      </c>
      <c r="BR546">
        <f ca="1"/>
        <v>1.1433211392987079</v>
      </c>
      <c r="BS546">
        <f ca="1"/>
        <v>2.6468529247613559</v>
      </c>
      <c r="BT546">
        <f ca="1"/>
        <v>0.56862063356256065</v>
      </c>
      <c r="BU546">
        <f ca="1"/>
        <v>0.77234614790955569</v>
      </c>
      <c r="BV546">
        <f ca="1"/>
        <v>1.7001505340500302</v>
      </c>
      <c r="BW546">
        <f ca="1"/>
        <v>0.26324425205102908</v>
      </c>
      <c r="BX546">
        <f ca="1"/>
        <v>3.7783810123265074</v>
      </c>
    </row>
    <row r="548" spans="52:76" ht="24" customHeight="1">
      <c r="BK548" t="s">
        <v>29</v>
      </c>
      <c r="BN548" s="7">
        <v>0.1</v>
      </c>
      <c r="BP548" cm="1">
        <f t="array" aca="1" ref="BP548:BX550" ca="1">BK549*_xlfn.ANCHORARRAY(BP544)+BN548:BN550</f>
        <v>0.87466749423253243</v>
      </c>
      <c r="BQ548">
        <f ca="1"/>
        <v>0.79220438262088944</v>
      </c>
      <c r="BR548">
        <f ca="1"/>
        <v>0.67739118423733813</v>
      </c>
      <c r="BS548">
        <f ca="1"/>
        <v>1.2662990044429001</v>
      </c>
      <c r="BT548">
        <f ca="1"/>
        <v>0.38314408607177364</v>
      </c>
      <c r="BU548">
        <f ca="1"/>
        <v>1.029340214009268</v>
      </c>
      <c r="BV548">
        <f ca="1"/>
        <v>0.5925119575903095</v>
      </c>
      <c r="BW548">
        <f ca="1"/>
        <v>0.3355590489581034</v>
      </c>
      <c r="BX548">
        <f ca="1"/>
        <v>1.5657229551634306</v>
      </c>
    </row>
    <row r="549" spans="52:76" ht="24" customHeight="1">
      <c r="BK549">
        <v>0.5</v>
      </c>
      <c r="BN549" s="7">
        <v>0.2</v>
      </c>
      <c r="BP549">
        <f ca="1"/>
        <v>1.2501268776779968</v>
      </c>
      <c r="BQ549">
        <f ca="1"/>
        <v>1.1074573189350021</v>
      </c>
      <c r="BR549">
        <f ca="1"/>
        <v>1.3167203011646296</v>
      </c>
      <c r="BS549">
        <f ca="1"/>
        <v>1.4800313371534761</v>
      </c>
      <c r="BT549">
        <f ca="1"/>
        <v>0.73891584262898746</v>
      </c>
      <c r="BU549">
        <f ca="1"/>
        <v>0.98058488783403508</v>
      </c>
      <c r="BV549">
        <f ca="1"/>
        <v>1.1720263189564208</v>
      </c>
      <c r="BW549">
        <f ca="1"/>
        <v>0.55379660947617171</v>
      </c>
      <c r="BX549">
        <f ca="1"/>
        <v>1.7924521687183839</v>
      </c>
    </row>
    <row r="550" spans="52:76" ht="24" customHeight="1">
      <c r="BN550" s="7">
        <v>0.1</v>
      </c>
      <c r="BP550">
        <f ca="1"/>
        <v>1.3234050078303323</v>
      </c>
      <c r="BQ550">
        <f ca="1"/>
        <v>0.67095048462528117</v>
      </c>
      <c r="BR550">
        <f ca="1"/>
        <v>0.67166056964935394</v>
      </c>
      <c r="BS550">
        <f ca="1"/>
        <v>1.423426462380678</v>
      </c>
      <c r="BT550">
        <f ca="1"/>
        <v>0.38431031678128036</v>
      </c>
      <c r="BU550">
        <f ca="1"/>
        <v>0.48617307395477782</v>
      </c>
      <c r="BV550">
        <f ca="1"/>
        <v>0.9500752670250151</v>
      </c>
      <c r="BW550">
        <f ca="1"/>
        <v>0.23162212602551455</v>
      </c>
      <c r="BX550">
        <f ca="1"/>
        <v>1.9891905061632538</v>
      </c>
    </row>
    <row r="552" spans="52:76" ht="24" customHeight="1">
      <c r="BN552" t="s">
        <v>30</v>
      </c>
      <c r="BP552" cm="1">
        <f t="array" aca="1" ref="BP552:BX554" ca="1">_xlfn.LET(_xlpm.x,_xlfn.ANCHORARRAY(BP548),1/(1+EXP(-_xlpm.x)))</f>
        <v>0.70571597745159487</v>
      </c>
      <c r="BQ552">
        <f ca="1"/>
        <v>0.68830445818620634</v>
      </c>
      <c r="BR552">
        <f ca="1"/>
        <v>0.66315618825952316</v>
      </c>
      <c r="BS552">
        <f ca="1"/>
        <v>0.78010854026866849</v>
      </c>
      <c r="BT552">
        <f ca="1"/>
        <v>0.59463119389294461</v>
      </c>
      <c r="BU552">
        <f ca="1"/>
        <v>0.73678796256400858</v>
      </c>
      <c r="BV552">
        <f ca="1"/>
        <v>0.64394129761745389</v>
      </c>
      <c r="BW552">
        <f ca="1"/>
        <v>0.58311136112211814</v>
      </c>
      <c r="BX552">
        <f ca="1"/>
        <v>0.82717302663851322</v>
      </c>
    </row>
    <row r="553" spans="52:76" ht="24" customHeight="1">
      <c r="BP553">
        <f ca="1"/>
        <v>0.77732182353538015</v>
      </c>
      <c r="BQ553">
        <f ca="1"/>
        <v>0.75165477325679952</v>
      </c>
      <c r="BR553">
        <f ca="1"/>
        <v>0.78863553258541241</v>
      </c>
      <c r="BS553">
        <f ca="1"/>
        <v>0.81457731395223387</v>
      </c>
      <c r="BT553">
        <f ca="1"/>
        <v>0.67675873539350762</v>
      </c>
      <c r="BU553">
        <f ca="1"/>
        <v>0.72722425545480929</v>
      </c>
      <c r="BV553">
        <f ca="1"/>
        <v>0.76351108708307902</v>
      </c>
      <c r="BW553">
        <f ca="1"/>
        <v>0.63501598402074788</v>
      </c>
      <c r="BX553">
        <f ca="1"/>
        <v>0.85722765650647947</v>
      </c>
    </row>
    <row r="554" spans="52:76" ht="24" customHeight="1">
      <c r="BP554">
        <f ca="1"/>
        <v>0.78974765327748686</v>
      </c>
      <c r="BQ554">
        <f ca="1"/>
        <v>0.66171595593009735</v>
      </c>
      <c r="BR554">
        <f ca="1"/>
        <v>0.66187488874951195</v>
      </c>
      <c r="BS554">
        <f ca="1"/>
        <v>0.80587501567826858</v>
      </c>
      <c r="BT554">
        <f ca="1"/>
        <v>0.5949122768483307</v>
      </c>
      <c r="BU554">
        <f ca="1"/>
        <v>0.61920449289901114</v>
      </c>
      <c r="BV554">
        <f ca="1"/>
        <v>0.72113031457768428</v>
      </c>
      <c r="BW554">
        <f ca="1"/>
        <v>0.55764803263439233</v>
      </c>
      <c r="BX554">
        <f ca="1"/>
        <v>0.87965747068148492</v>
      </c>
    </row>
    <row r="556" spans="52:76" ht="24" customHeight="1">
      <c r="BN556" t="s">
        <v>31</v>
      </c>
      <c r="BP556" cm="1">
        <f t="array" aca="1" ref="BP556:BX558" ca="1">2*_xlfn.ANCHORARRAY(BP552)</f>
        <v>1.4114319549031897</v>
      </c>
      <c r="BQ556">
        <f ca="1"/>
        <v>1.3766089163724127</v>
      </c>
      <c r="BR556">
        <f ca="1"/>
        <v>1.3263123765190463</v>
      </c>
      <c r="BS556">
        <f ca="1"/>
        <v>1.560217080537337</v>
      </c>
      <c r="BT556">
        <f ca="1"/>
        <v>1.1892623877858892</v>
      </c>
      <c r="BU556">
        <f ca="1"/>
        <v>1.4735759251280172</v>
      </c>
      <c r="BV556">
        <f ca="1"/>
        <v>1.2878825952349078</v>
      </c>
      <c r="BW556">
        <f ca="1"/>
        <v>1.1662227222442363</v>
      </c>
      <c r="BX556">
        <f ca="1"/>
        <v>1.6543460532770264</v>
      </c>
    </row>
    <row r="557" spans="52:76" ht="24" customHeight="1">
      <c r="BP557">
        <f ca="1"/>
        <v>1.5546436470707603</v>
      </c>
      <c r="BQ557">
        <f ca="1"/>
        <v>1.503309546513599</v>
      </c>
      <c r="BR557">
        <f ca="1"/>
        <v>1.5772710651708248</v>
      </c>
      <c r="BS557">
        <f ca="1"/>
        <v>1.6291546279044677</v>
      </c>
      <c r="BT557">
        <f ca="1"/>
        <v>1.3535174707870152</v>
      </c>
      <c r="BU557">
        <f ca="1"/>
        <v>1.4544485109096186</v>
      </c>
      <c r="BV557">
        <f ca="1"/>
        <v>1.527022174166158</v>
      </c>
      <c r="BW557">
        <f ca="1"/>
        <v>1.2700319680414958</v>
      </c>
      <c r="BX557">
        <f ca="1"/>
        <v>1.7144553130129589</v>
      </c>
    </row>
    <row r="558" spans="52:76" ht="24" customHeight="1">
      <c r="BP558">
        <f ca="1"/>
        <v>1.5794953065549737</v>
      </c>
      <c r="BQ558">
        <f ca="1"/>
        <v>1.3234319118601947</v>
      </c>
      <c r="BR558">
        <f ca="1"/>
        <v>1.3237497774990239</v>
      </c>
      <c r="BS558">
        <f ca="1"/>
        <v>1.6117500313565372</v>
      </c>
      <c r="BT558">
        <f ca="1"/>
        <v>1.1898245536966614</v>
      </c>
      <c r="BU558">
        <f ca="1"/>
        <v>1.2384089857980223</v>
      </c>
      <c r="BV558">
        <f ca="1"/>
        <v>1.4422606291553686</v>
      </c>
      <c r="BW558">
        <f ca="1"/>
        <v>1.1152960652687847</v>
      </c>
      <c r="BX558">
        <f ca="1"/>
        <v>1.7593149413629698</v>
      </c>
    </row>
    <row r="560" spans="52:76" ht="24" customHeight="1">
      <c r="BP560" s="1" cm="1">
        <f t="array" aca="1" ref="BP560:BX562" ca="1">_xlfn.ANCHORARRAY(BP556)</f>
        <v>1.4114319549031897</v>
      </c>
      <c r="BQ560" s="1">
        <f ca="1"/>
        <v>1.3766089163724127</v>
      </c>
      <c r="BR560" s="1">
        <f ca="1"/>
        <v>1.3263123765190463</v>
      </c>
      <c r="BS560" s="1">
        <f ca="1"/>
        <v>1.560217080537337</v>
      </c>
      <c r="BT560" s="1">
        <f ca="1"/>
        <v>1.1892623877858892</v>
      </c>
      <c r="BU560" s="1">
        <f ca="1"/>
        <v>1.4735759251280172</v>
      </c>
      <c r="BV560" s="1">
        <f ca="1"/>
        <v>1.2878825952349078</v>
      </c>
      <c r="BW560" s="1">
        <f ca="1"/>
        <v>1.1662227222442363</v>
      </c>
      <c r="BX560" s="1">
        <f ca="1"/>
        <v>1.6543460532770264</v>
      </c>
    </row>
    <row r="561" spans="22:76" ht="24" customHeight="1">
      <c r="BP561" s="2">
        <f ca="1"/>
        <v>1.5546436470707603</v>
      </c>
      <c r="BQ561" s="2">
        <f ca="1"/>
        <v>1.503309546513599</v>
      </c>
      <c r="BR561" s="2">
        <f ca="1"/>
        <v>1.5772710651708248</v>
      </c>
      <c r="BS561" s="2">
        <f ca="1"/>
        <v>1.6291546279044677</v>
      </c>
      <c r="BT561" s="2">
        <f ca="1"/>
        <v>1.3535174707870152</v>
      </c>
      <c r="BU561" s="2">
        <f ca="1"/>
        <v>1.4544485109096186</v>
      </c>
      <c r="BV561" s="2">
        <f ca="1"/>
        <v>1.527022174166158</v>
      </c>
      <c r="BW561" s="2">
        <f ca="1"/>
        <v>1.2700319680414958</v>
      </c>
      <c r="BX561" s="2">
        <f ca="1"/>
        <v>1.7144553130129589</v>
      </c>
    </row>
    <row r="562" spans="22:76" ht="24" customHeight="1">
      <c r="BP562" s="3">
        <f ca="1"/>
        <v>1.5794953065549737</v>
      </c>
      <c r="BQ562" s="3">
        <f ca="1"/>
        <v>1.3234319118601947</v>
      </c>
      <c r="BR562" s="3">
        <f ca="1"/>
        <v>1.3237497774990239</v>
      </c>
      <c r="BS562" s="3">
        <f ca="1"/>
        <v>1.6117500313565372</v>
      </c>
      <c r="BT562" s="3">
        <f ca="1"/>
        <v>1.1898245536966614</v>
      </c>
      <c r="BU562" s="3">
        <f ca="1"/>
        <v>1.2384089857980223</v>
      </c>
      <c r="BV562" s="3">
        <f ca="1"/>
        <v>1.4422606291553686</v>
      </c>
      <c r="BW562" s="3">
        <f ca="1"/>
        <v>1.1152960652687847</v>
      </c>
      <c r="BX562" s="3">
        <f ca="1"/>
        <v>1.7593149413629698</v>
      </c>
    </row>
    <row r="564" spans="22:76" ht="24" customHeight="1">
      <c r="V564" s="1" cm="1">
        <f t="array" aca="1" ref="V564:V568" ca="1">V517*V461:V465+V518*V466:V470+V519*V471:V475</f>
        <v>0.41095648786734873</v>
      </c>
      <c r="AG564" s="1" cm="1">
        <f t="array" aca="1" ref="AG564:AG568" ca="1">AG527*AG461:AG465+AG528*AG466:AG470+AG529*AG471:AG475</f>
        <v>0.41834362378789713</v>
      </c>
      <c r="AH564" s="1" cm="1">
        <f t="array" aca="1" ref="AH564:AH568" ca="1">AH527*AH461:AH465+AH528*AH466:AH470+AH529*AH471:AH475</f>
        <v>0.25469757944028404</v>
      </c>
      <c r="AI564" s="1" cm="1">
        <f t="array" aca="1" ref="AI564:AI568" ca="1">AI527*AI461:AI465+AI528*AI466:AI470+AI529*AI471:AI475</f>
        <v>4.9777042312584788E-3</v>
      </c>
      <c r="AJ564" s="1" cm="1">
        <f t="array" aca="1" ref="AJ564:AJ568" ca="1">AJ527*AJ461:AJ465+AJ528*AJ466:AJ470+AJ529*AJ471:AJ475</f>
        <v>0.59612850177594556</v>
      </c>
      <c r="AK564" s="1" cm="1">
        <f t="array" aca="1" ref="AK564:AK568" ca="1">AK527*AK461:AK465+AK528*AK466:AK470+AK529*AK471:AK475</f>
        <v>5.7793362430413706E-2</v>
      </c>
      <c r="AL564" s="1" cm="1">
        <f t="array" aca="1" ref="AL564:AL568" ca="1">AL527*AL461:AL465+AL528*AL466:AL470+AL529*AL471:AL475</f>
        <v>0.3371709120936735</v>
      </c>
      <c r="AM564" s="1" cm="1">
        <f t="array" aca="1" ref="AM564:AM568" ca="1">AM527*AM461:AM465+AM528*AM466:AM470+AM529*AM471:AM475</f>
        <v>3.9976231837316162E-2</v>
      </c>
      <c r="AN564" s="1" cm="1">
        <f t="array" aca="1" ref="AN564:AN568" ca="1">AN527*AN461:AN465+AN528*AN466:AN470+AN529*AN471:AN475</f>
        <v>0.21403379378163817</v>
      </c>
      <c r="AO564" s="1" cm="1">
        <f t="array" aca="1" ref="AO564:AO568" ca="1">AO527*AO461:AO465+AO528*AO466:AO470+AO529*AO471:AO475</f>
        <v>0.65711869771573295</v>
      </c>
      <c r="BP564" s="1" cm="1">
        <f t="array" aca="1" ref="BP564:BX568" ca="1">_xlfn.ANCHORARRAY(BP536)*BP560:BX560</f>
        <v>2.6898291548016986</v>
      </c>
      <c r="BQ564" s="1">
        <f ca="1"/>
        <v>2.2948492069107278</v>
      </c>
      <c r="BR564" s="1">
        <f ca="1"/>
        <v>2.2955730483503318</v>
      </c>
      <c r="BS564" s="1">
        <f ca="1"/>
        <v>3.3219850940912026</v>
      </c>
      <c r="BT564" s="1">
        <f ca="1"/>
        <v>1.8424454176252374</v>
      </c>
      <c r="BU564" s="1">
        <f ca="1"/>
        <v>2.5531512686238793</v>
      </c>
      <c r="BV564" s="1">
        <f ca="1"/>
        <v>2.2196802874211721</v>
      </c>
      <c r="BW564" s="1">
        <f ca="1"/>
        <v>1.7575226170552631</v>
      </c>
      <c r="BX564" s="1">
        <f ca="1"/>
        <v>3.6814511103823295</v>
      </c>
    </row>
    <row r="565" spans="22:76" ht="24" customHeight="1">
      <c r="V565" s="2">
        <f ca="1"/>
        <v>0.307742080212345</v>
      </c>
      <c r="AG565" s="2">
        <f ca="1"/>
        <v>0.32420501711584715</v>
      </c>
      <c r="AH565" s="2">
        <f ca="1"/>
        <v>0.34206987268908828</v>
      </c>
      <c r="AI565" s="2">
        <f ca="1"/>
        <v>0.33457507695694577</v>
      </c>
      <c r="AJ565" s="2">
        <f ca="1"/>
        <v>0.67119168081632441</v>
      </c>
      <c r="AK565" s="2">
        <f ca="1"/>
        <v>0.21110179014032313</v>
      </c>
      <c r="AL565" s="2">
        <f ca="1"/>
        <v>1.7096855323379088E-2</v>
      </c>
      <c r="AM565" s="2">
        <f ca="1"/>
        <v>0.47694306414360288</v>
      </c>
      <c r="AN565" s="2">
        <f ca="1"/>
        <v>0</v>
      </c>
      <c r="AO565" s="2">
        <f ca="1"/>
        <v>0.5665376759805173</v>
      </c>
      <c r="BP565" s="2">
        <f ca="1"/>
        <v>1.9335879554015289</v>
      </c>
      <c r="BQ565" s="2">
        <f ca="1"/>
        <v>1.649995346256095</v>
      </c>
      <c r="BR565" s="2">
        <f ca="1"/>
        <v>1.6500587264745259</v>
      </c>
      <c r="BS565" s="2">
        <f ca="1"/>
        <v>2.3882059650304575</v>
      </c>
      <c r="BT565" s="2">
        <f ca="1"/>
        <v>1.3247896245407567</v>
      </c>
      <c r="BU565" s="2">
        <f ca="1"/>
        <v>1.83577295888777</v>
      </c>
      <c r="BV565" s="2">
        <f ca="1"/>
        <v>1.5954386555177862</v>
      </c>
      <c r="BW565" s="2">
        <f ca="1"/>
        <v>1.2638090898390226</v>
      </c>
      <c r="BX565" s="2">
        <f ca="1"/>
        <v>2.6468342351147722</v>
      </c>
    </row>
    <row r="566" spans="22:76" ht="24" customHeight="1">
      <c r="V566" s="2">
        <f ca="1"/>
        <v>0</v>
      </c>
      <c r="AG566" s="2">
        <f ca="1"/>
        <v>0</v>
      </c>
      <c r="AH566" s="2">
        <f ca="1"/>
        <v>0.1265506653054988</v>
      </c>
      <c r="AI566" s="2">
        <f ca="1"/>
        <v>0.18386664483573392</v>
      </c>
      <c r="AJ566" s="2">
        <f ca="1"/>
        <v>6.1670845091765673E-2</v>
      </c>
      <c r="AK566" s="2">
        <f ca="1"/>
        <v>3.7931919816226393E-2</v>
      </c>
      <c r="AL566" s="2">
        <f ca="1"/>
        <v>0.35658436557265533</v>
      </c>
      <c r="AM566" s="2">
        <f ca="1"/>
        <v>7.7013595924145346E-3</v>
      </c>
      <c r="AN566" s="2">
        <f ca="1"/>
        <v>0</v>
      </c>
      <c r="AO566" s="2">
        <f ca="1"/>
        <v>0.39988123868199488</v>
      </c>
      <c r="BP566" s="2">
        <f ca="1"/>
        <v>1.5563344469848319</v>
      </c>
      <c r="BQ566" s="2">
        <f ca="1"/>
        <v>1.3270692397587915</v>
      </c>
      <c r="BR566" s="2">
        <f ca="1"/>
        <v>1.3279030402827858</v>
      </c>
      <c r="BS566" s="2">
        <f ca="1"/>
        <v>1.9221987484004202</v>
      </c>
      <c r="BT566" s="2">
        <f ca="1"/>
        <v>1.064959600778558</v>
      </c>
      <c r="BU566" s="2">
        <f ca="1"/>
        <v>1.476711299889258</v>
      </c>
      <c r="BV566" s="2">
        <f ca="1"/>
        <v>1.2839797958500963</v>
      </c>
      <c r="BW566" s="2">
        <f ca="1"/>
        <v>1.0156101004816238</v>
      </c>
      <c r="BX566" s="2">
        <f ca="1"/>
        <v>2.1300640349159443</v>
      </c>
    </row>
    <row r="567" spans="22:76" ht="24" customHeight="1">
      <c r="V567" s="2">
        <f ca="1"/>
        <v>0.49467257317381558</v>
      </c>
      <c r="AG567" s="2">
        <f ca="1"/>
        <v>0.49735907578231664</v>
      </c>
      <c r="AH567" s="2">
        <f ca="1"/>
        <v>0</v>
      </c>
      <c r="AI567" s="2">
        <f ca="1"/>
        <v>0.31528592078604245</v>
      </c>
      <c r="AJ567" s="2">
        <f ca="1"/>
        <v>0.13473317239262791</v>
      </c>
      <c r="AK567" s="2">
        <f ca="1"/>
        <v>0.12234625580529704</v>
      </c>
      <c r="AL567" s="2">
        <f ca="1"/>
        <v>0.17655821605123911</v>
      </c>
      <c r="AM567" s="2">
        <f ca="1"/>
        <v>0.44081941084025456</v>
      </c>
      <c r="AN567" s="2">
        <f ca="1"/>
        <v>0</v>
      </c>
      <c r="AO567" s="2">
        <f ca="1"/>
        <v>0.3398425765780429</v>
      </c>
      <c r="BP567" s="2">
        <f ca="1"/>
        <v>1.5228310693635307</v>
      </c>
      <c r="BQ567" s="2">
        <f ca="1"/>
        <v>1.299526243721594</v>
      </c>
      <c r="BR567" s="2">
        <f ca="1"/>
        <v>1.2999710362005237</v>
      </c>
      <c r="BS567" s="2">
        <f ca="1"/>
        <v>1.8804896747053066</v>
      </c>
      <c r="BT567" s="2">
        <f ca="1"/>
        <v>1.0436747225766356</v>
      </c>
      <c r="BU567" s="2">
        <f ca="1"/>
        <v>1.4455343024988674</v>
      </c>
      <c r="BV567" s="2">
        <f ca="1"/>
        <v>1.257065809996617</v>
      </c>
      <c r="BW567" s="2">
        <f ca="1"/>
        <v>0.99571320893476034</v>
      </c>
      <c r="BX567" s="2">
        <f ca="1"/>
        <v>2.0839155663336788</v>
      </c>
    </row>
    <row r="568" spans="22:76" ht="24" customHeight="1">
      <c r="V568" s="3">
        <f ca="1"/>
        <v>0.39473241876430387</v>
      </c>
      <c r="AG568" s="3">
        <f ca="1"/>
        <v>0.4021707670245091</v>
      </c>
      <c r="AH568" s="3">
        <f ca="1"/>
        <v>0.23507218832062371</v>
      </c>
      <c r="AI568" s="3">
        <f ca="1"/>
        <v>0.1418788535480052</v>
      </c>
      <c r="AJ568" s="3">
        <f ca="1"/>
        <v>0.26177463291683956</v>
      </c>
      <c r="AK568" s="3">
        <f ca="1"/>
        <v>3.0453961202827132E-2</v>
      </c>
      <c r="AL568" s="3">
        <f ca="1"/>
        <v>0.10463062388448391</v>
      </c>
      <c r="AM568" s="3">
        <f ca="1"/>
        <v>0.26389383816868806</v>
      </c>
      <c r="AN568" s="3">
        <f ca="1"/>
        <v>0.18081032693193855</v>
      </c>
      <c r="AO568" s="3">
        <f ca="1"/>
        <v>0.47215844213435576</v>
      </c>
      <c r="BP568" s="3">
        <f ca="1"/>
        <v>1.4748376671340564</v>
      </c>
      <c r="BQ568" s="3">
        <f ca="1"/>
        <v>1.2583145472660873</v>
      </c>
      <c r="BR568" s="3">
        <f ca="1"/>
        <v>1.2588931287260245</v>
      </c>
      <c r="BS568" s="3">
        <f ca="1"/>
        <v>1.8212570042839828</v>
      </c>
      <c r="BT568" s="3">
        <f ca="1"/>
        <v>1.0104054257494237</v>
      </c>
      <c r="BU568" s="3">
        <f ca="1"/>
        <v>1.3997855481171644</v>
      </c>
      <c r="BV568" s="3">
        <f ca="1"/>
        <v>1.2173365985321642</v>
      </c>
      <c r="BW568" s="3">
        <f ca="1"/>
        <v>0.96388099040813802</v>
      </c>
      <c r="BX568" s="3">
        <f ca="1"/>
        <v>2.0182276192492643</v>
      </c>
    </row>
    <row r="569" spans="22:76" ht="24" customHeight="1">
      <c r="V569" s="1" cm="1">
        <f t="array" aca="1" ref="V569:V573" ca="1">V520*V461:V465+V521*V466:V470+V522*V471:V475</f>
        <v>0.39723091878262196</v>
      </c>
      <c r="AG569" s="1" cm="1">
        <f t="array" aca="1" ref="AG569:AG573" ca="1">AG530*AG461:AG465+AG531*AG466:AG470+AG532*AG471:AG475</f>
        <v>0.39161442387114814</v>
      </c>
      <c r="AH569" s="1" cm="1">
        <f t="array" aca="1" ref="AH569:AH573" ca="1">AH530*AH461:AH465+AH531*AH466:AH470+AH532*AH471:AH475</f>
        <v>0.1468393768107781</v>
      </c>
      <c r="AI569" s="1" cm="1">
        <f t="array" aca="1" ref="AI569:AI573" ca="1">AI530*AI461:AI465+AI531*AI466:AI470+AI532*AI471:AI475</f>
        <v>9.745551370996865E-3</v>
      </c>
      <c r="AJ569" s="1" cm="1">
        <f t="array" aca="1" ref="AJ569:AJ573" ca="1">AJ530*AJ461:AJ465+AJ531*AJ466:AJ470+AJ532*AJ471:AJ475</f>
        <v>0.58712817632832515</v>
      </c>
      <c r="AK569" s="1" cm="1">
        <f t="array" aca="1" ref="AK569:AK573" ca="1">AK530*AK461:AK465+AK531*AK466:AK470+AK532*AK471:AK475</f>
        <v>0.10605541262658073</v>
      </c>
      <c r="AL569" s="1" cm="1">
        <f t="array" aca="1" ref="AL569:AL573" ca="1">AL530*AL461:AL465+AL531*AL466:AL470+AL532*AL471:AL475</f>
        <v>0.23059158646541061</v>
      </c>
      <c r="AM569" s="1" cm="1">
        <f t="array" aca="1" ref="AM569:AM573" ca="1">AM530*AM461:AM465+AM531*AM466:AM470+AM532*AM471:AM475</f>
        <v>9.0128692626951723E-2</v>
      </c>
      <c r="AN569" s="1" cm="1">
        <f t="array" aca="1" ref="AN569:AN573" ca="1">AN530*AN461:AN465+AN531*AN466:AN470+AN532*AN471:AN475</f>
        <v>0.19884210806510344</v>
      </c>
      <c r="AO569" s="1" cm="1">
        <f t="array" aca="1" ref="AO569:AO573" ca="1">AO530*AO461:AO465+AO531*AO466:AO470+AO532*AO471:AO475</f>
        <v>0.42129071787021993</v>
      </c>
      <c r="BP569" s="1" cm="1">
        <f t="array" aca="1" ref="BP569:BX573" ca="1">_xlfn.ANCHORARRAY(BP536)*BP561:BX561</f>
        <v>2.9627540971360529</v>
      </c>
      <c r="BQ569" s="1">
        <f ca="1"/>
        <v>2.5060630361519238</v>
      </c>
      <c r="BR569" s="1">
        <f ca="1"/>
        <v>2.7299307548133775</v>
      </c>
      <c r="BS569" s="1">
        <f ca="1"/>
        <v>3.4687656335645585</v>
      </c>
      <c r="BT569" s="1">
        <f ca="1"/>
        <v>2.0969149342812727</v>
      </c>
      <c r="BU569" s="1">
        <f ca="1"/>
        <v>2.520010674342688</v>
      </c>
      <c r="BV569" s="1">
        <f ca="1"/>
        <v>2.6318400691123562</v>
      </c>
      <c r="BW569" s="1">
        <f ca="1"/>
        <v>1.913965373544382</v>
      </c>
      <c r="BX569" s="1">
        <f ca="1"/>
        <v>3.8152135118827686</v>
      </c>
    </row>
    <row r="570" spans="22:76" ht="24" customHeight="1">
      <c r="V570" s="2">
        <f ca="1"/>
        <v>0.26725989002959083</v>
      </c>
      <c r="AG570" s="2">
        <f ca="1"/>
        <v>0.2595727361455934</v>
      </c>
      <c r="AH570" s="2">
        <f ca="1"/>
        <v>0.45369215759531389</v>
      </c>
      <c r="AI570" s="2">
        <f ca="1"/>
        <v>0.56130697067792812</v>
      </c>
      <c r="AJ570" s="2">
        <f ca="1"/>
        <v>0.65754780676692781</v>
      </c>
      <c r="AK570" s="2">
        <f ca="1"/>
        <v>0.33159840843142641</v>
      </c>
      <c r="AL570" s="2">
        <f ca="1"/>
        <v>3.3410139430051451E-2</v>
      </c>
      <c r="AM570" s="2">
        <f ca="1"/>
        <v>0.6271126814657485</v>
      </c>
      <c r="AN570" s="2">
        <f ca="1"/>
        <v>0</v>
      </c>
      <c r="AO570" s="2">
        <f ca="1"/>
        <v>0.41086663044531552</v>
      </c>
      <c r="BP570" s="2">
        <f ca="1"/>
        <v>2.129780483199923</v>
      </c>
      <c r="BQ570" s="2">
        <f ca="1"/>
        <v>1.801857975950204</v>
      </c>
      <c r="BR570" s="2">
        <f ca="1"/>
        <v>1.9622752009081594</v>
      </c>
      <c r="BS570" s="2">
        <f ca="1"/>
        <v>2.4937278593171488</v>
      </c>
      <c r="BT570" s="2">
        <f ca="1"/>
        <v>1.5077630641894251</v>
      </c>
      <c r="BU570" s="2">
        <f ca="1"/>
        <v>1.8119441291703389</v>
      </c>
      <c r="BV570" s="2">
        <f ca="1"/>
        <v>1.8916865663932123</v>
      </c>
      <c r="BW570" s="2">
        <f ca="1"/>
        <v>1.3763048129505078</v>
      </c>
      <c r="BX570" s="2">
        <f ca="1"/>
        <v>2.7430047105732283</v>
      </c>
    </row>
    <row r="571" spans="22:76" ht="24" customHeight="1">
      <c r="V571" s="2">
        <f ca="1"/>
        <v>0</v>
      </c>
      <c r="AG571" s="2">
        <f ca="1"/>
        <v>0</v>
      </c>
      <c r="AH571" s="2">
        <f ca="1"/>
        <v>6.1470702318016997E-2</v>
      </c>
      <c r="AI571" s="2">
        <f ca="1"/>
        <v>0.35998157974252543</v>
      </c>
      <c r="AJ571" s="2">
        <f ca="1"/>
        <v>4.104492465241219E-2</v>
      </c>
      <c r="AK571" s="2">
        <f ca="1"/>
        <v>6.9608087134089724E-2</v>
      </c>
      <c r="AL571" s="2">
        <f ca="1"/>
        <v>0.26916111550664512</v>
      </c>
      <c r="AM571" s="2">
        <f ca="1"/>
        <v>6.244429394270062E-3</v>
      </c>
      <c r="AN571" s="2">
        <f ca="1"/>
        <v>0</v>
      </c>
      <c r="AO571" s="2">
        <f ca="1"/>
        <v>0.27287270990779194</v>
      </c>
      <c r="BP571" s="2">
        <f ca="1"/>
        <v>1.7142487473923678</v>
      </c>
      <c r="BQ571" s="2">
        <f ca="1"/>
        <v>1.4492103263947125</v>
      </c>
      <c r="BR571" s="2">
        <f ca="1"/>
        <v>1.5791627069690766</v>
      </c>
      <c r="BS571" s="2">
        <f ca="1"/>
        <v>2.0071303062713652</v>
      </c>
      <c r="BT571" s="2">
        <f ca="1"/>
        <v>1.2120465930312896</v>
      </c>
      <c r="BU571" s="2">
        <f ca="1"/>
        <v>1.45754318765811</v>
      </c>
      <c r="BV571" s="2">
        <f ca="1"/>
        <v>1.5223946862072557</v>
      </c>
      <c r="BW571" s="2">
        <f ca="1"/>
        <v>1.1060128310614148</v>
      </c>
      <c r="BX571" s="2">
        <f ca="1"/>
        <v>2.2074581037537846</v>
      </c>
    </row>
    <row r="572" spans="22:76" ht="24" customHeight="1">
      <c r="V572" s="2">
        <f ca="1"/>
        <v>0.31834999772672579</v>
      </c>
      <c r="AG572" s="2">
        <f ca="1"/>
        <v>0.30931641169964175</v>
      </c>
      <c r="AH572" s="2">
        <f ca="1"/>
        <v>0</v>
      </c>
      <c r="AI572" s="2">
        <f ca="1"/>
        <v>0.15097741696445777</v>
      </c>
      <c r="AJ572" s="2">
        <f ca="1"/>
        <v>7.3019224309143954E-2</v>
      </c>
      <c r="AK572" s="2">
        <f ca="1"/>
        <v>6.3854910590946126E-2</v>
      </c>
      <c r="AL572" s="2">
        <f ca="1"/>
        <v>0.34502453838552916</v>
      </c>
      <c r="AM572" s="2">
        <f ca="1"/>
        <v>0.40172912312993375</v>
      </c>
      <c r="AN572" s="2">
        <f ca="1"/>
        <v>0</v>
      </c>
      <c r="AO572" s="2">
        <f ca="1"/>
        <v>0.20001065576165203</v>
      </c>
      <c r="BP572" s="2">
        <f ca="1"/>
        <v>1.6773459317848376</v>
      </c>
      <c r="BQ572" s="2">
        <f ca="1"/>
        <v>1.419132322111974</v>
      </c>
      <c r="BR572" s="2">
        <f ca="1"/>
        <v>1.5459455383659961</v>
      </c>
      <c r="BS572" s="2">
        <f ca="1"/>
        <v>1.9635783343799915</v>
      </c>
      <c r="BT572" s="2">
        <f ca="1"/>
        <v>1.1878219519379882</v>
      </c>
      <c r="BU572" s="2">
        <f ca="1"/>
        <v>1.4267708761295084</v>
      </c>
      <c r="BV572" s="2">
        <f ca="1"/>
        <v>1.4904831957146301</v>
      </c>
      <c r="BW572" s="2">
        <f ca="1"/>
        <v>1.0843448530267019</v>
      </c>
      <c r="BX572" s="2">
        <f ca="1"/>
        <v>2.1596328697336395</v>
      </c>
    </row>
    <row r="573" spans="22:76" ht="24" customHeight="1">
      <c r="V573" s="3">
        <f ca="1"/>
        <v>0.27289622824073367</v>
      </c>
      <c r="AG573" s="3">
        <f ca="1"/>
        <v>0.26480583439641114</v>
      </c>
      <c r="AH573" s="3">
        <f ca="1"/>
        <v>0.21544630771526338</v>
      </c>
      <c r="AI573" s="3">
        <f ca="1"/>
        <v>0.13664922631244925</v>
      </c>
      <c r="AJ573" s="3">
        <f ca="1"/>
        <v>0.32610557501036624</v>
      </c>
      <c r="AK573" s="3">
        <f ca="1"/>
        <v>5.2677624905581151E-2</v>
      </c>
      <c r="AL573" s="3">
        <f ca="1"/>
        <v>6.5805556350310129E-2</v>
      </c>
      <c r="AM573" s="3">
        <f ca="1"/>
        <v>0.19790814009588417</v>
      </c>
      <c r="AN573" s="3">
        <f ca="1"/>
        <v>0.34917066183200385</v>
      </c>
      <c r="AO573" s="3">
        <f ca="1"/>
        <v>0.55274509994478471</v>
      </c>
      <c r="BP573" s="3">
        <f ca="1"/>
        <v>1.6244828535342946</v>
      </c>
      <c r="BQ573" s="3">
        <f ca="1"/>
        <v>1.3741275745959964</v>
      </c>
      <c r="BR573" s="3">
        <f ca="1"/>
        <v>1.4970950593805419</v>
      </c>
      <c r="BS573" s="3">
        <f ca="1"/>
        <v>1.9017284928779326</v>
      </c>
      <c r="BT573" s="3">
        <f ca="1"/>
        <v>1.1499576631494846</v>
      </c>
      <c r="BU573" s="3">
        <f ca="1"/>
        <v>1.3816159529580692</v>
      </c>
      <c r="BV573" s="3">
        <f ca="1"/>
        <v>1.4433768934066236</v>
      </c>
      <c r="BW573" s="3">
        <f ca="1"/>
        <v>1.0496791460640602</v>
      </c>
      <c r="BX573" s="3">
        <f ca="1"/>
        <v>2.0915582068439096</v>
      </c>
    </row>
    <row r="574" spans="22:76" ht="24" customHeight="1">
      <c r="V574" s="1" cm="1">
        <f t="array" aca="1" ref="V574:V578" ca="1">V523*V461:V465+V524*V466:V470+V525*V471:V475</f>
        <v>0.4197060477597982</v>
      </c>
      <c r="AG574" s="1" cm="1">
        <f t="array" aca="1" ref="AG574:AG578" ca="1">AG533*AG461:AG465+AG534*AG466:AG470+AG535*AG471:AG475</f>
        <v>0.41769773849427327</v>
      </c>
      <c r="AH574" s="1" cm="1">
        <f t="array" aca="1" ref="AH574:AH578" ca="1">AH533*AH461:AH465+AH534*AH466:AH470+AH535*AH471:AH475</f>
        <v>0.20458360910360651</v>
      </c>
      <c r="AI574" s="1" cm="1">
        <f t="array" aca="1" ref="AI574:AI578" ca="1">AI533*AI461:AI465+AI534*AI466:AI470+AI535*AI471:AI475</f>
        <v>4.9125598605679411E-3</v>
      </c>
      <c r="AJ574" s="1" cm="1">
        <f t="array" aca="1" ref="AJ574:AJ578" ca="1">AJ533*AJ461:AJ465+AJ534*AJ466:AJ470+AJ535*AJ471:AJ475</f>
        <v>0.58972417366363938</v>
      </c>
      <c r="AK574" s="1" cm="1">
        <f t="array" aca="1" ref="AK574:AK578" ca="1">AK533*AK461:AK465+AK534*AK466:AK470+AK535*AK471:AK475</f>
        <v>5.0654098365573483E-2</v>
      </c>
      <c r="AL574" s="1" cm="1">
        <f t="array" aca="1" ref="AL574:AL578" ca="1">AL533*AL461:AL465+AL534*AL466:AL470+AL535*AL471:AL475</f>
        <v>0.3064567161838348</v>
      </c>
      <c r="AM574" s="1" cm="1">
        <f t="array" aca="1" ref="AM574:AM578" ca="1">AM533*AM461:AM465+AM534*AM466:AM470+AM535*AM471:AM475</f>
        <v>3.6644201097606514E-2</v>
      </c>
      <c r="AN574" s="1" cm="1">
        <f t="array" aca="1" ref="AN574:AN578" ca="1">AN533*AN461:AN465+AN534*AN466:AN470+AN535*AN471:AN475</f>
        <v>0.24466365779841293</v>
      </c>
      <c r="AO574" s="1" cm="1">
        <f t="array" aca="1" ref="AO574:AO578" ca="1">AO533*AO461:AO465+AO534*AO466:AO470+AO535*AO471:AO475</f>
        <v>0.67374093399177615</v>
      </c>
      <c r="BP574" s="1" cm="1">
        <f t="array" aca="1" ref="BP574:BX578" ca="1">_xlfn.ANCHORARRAY(BP536)*BP562:BX562</f>
        <v>3.010115018782769</v>
      </c>
      <c r="BQ574" s="1">
        <f ca="1"/>
        <v>2.2062015124352854</v>
      </c>
      <c r="BR574" s="1">
        <f ca="1"/>
        <v>2.2911377182212926</v>
      </c>
      <c r="BS574" s="1">
        <f ca="1"/>
        <v>3.4317080913660178</v>
      </c>
      <c r="BT574" s="1">
        <f ca="1"/>
        <v>1.8433163440220401</v>
      </c>
      <c r="BU574" s="1">
        <f ca="1"/>
        <v>2.1456956640294913</v>
      </c>
      <c r="BV574" s="1">
        <f ca="1"/>
        <v>2.4857525831195089</v>
      </c>
      <c r="BW574" s="1">
        <f ca="1"/>
        <v>1.680775054400051</v>
      </c>
      <c r="BX574" s="1">
        <f ca="1"/>
        <v>3.9150405875259513</v>
      </c>
    </row>
    <row r="575" spans="22:76" ht="24" customHeight="1">
      <c r="V575" s="2">
        <f ca="1"/>
        <v>0.39159639815031511</v>
      </c>
      <c r="AG575" s="2">
        <f ca="1"/>
        <v>0.38146289969587094</v>
      </c>
      <c r="AH575" s="2">
        <f ca="1"/>
        <v>0.40078793917883715</v>
      </c>
      <c r="AI575" s="2">
        <f ca="1"/>
        <v>0.35268568324868921</v>
      </c>
      <c r="AJ575" s="2">
        <f ca="1"/>
        <v>0.67178066774935219</v>
      </c>
      <c r="AK575" s="2">
        <f ca="1"/>
        <v>0.20689490214782433</v>
      </c>
      <c r="AL575" s="2">
        <f ca="1"/>
        <v>1.7801623040213547E-2</v>
      </c>
      <c r="AM575" s="2">
        <f ca="1"/>
        <v>0.55284051641363341</v>
      </c>
      <c r="AN575" s="2">
        <f ca="1"/>
        <v>0</v>
      </c>
      <c r="AO575" s="2">
        <f ca="1"/>
        <v>0.5409202021863464</v>
      </c>
      <c r="BP575" s="2">
        <f ca="1"/>
        <v>2.1638259568647951</v>
      </c>
      <c r="BQ575" s="2">
        <f ca="1"/>
        <v>1.5862577015775956</v>
      </c>
      <c r="BR575" s="2">
        <f ca="1"/>
        <v>1.6468706095947445</v>
      </c>
      <c r="BS575" s="2">
        <f ca="1"/>
        <v>2.4670868477468866</v>
      </c>
      <c r="BT575" s="2">
        <f ca="1"/>
        <v>1.3254158543564056</v>
      </c>
      <c r="BU575" s="2">
        <f ca="1"/>
        <v>1.5428032511959859</v>
      </c>
      <c r="BV575" s="2">
        <f ca="1"/>
        <v>1.7866833262593877</v>
      </c>
      <c r="BW575" s="2">
        <f ca="1"/>
        <v>1.2086210277535623</v>
      </c>
      <c r="BX575" s="2">
        <f ca="1"/>
        <v>2.8147768768960693</v>
      </c>
    </row>
    <row r="576" spans="22:76" ht="24" customHeight="1">
      <c r="V576" s="2">
        <f ca="1"/>
        <v>0</v>
      </c>
      <c r="AG576" s="2">
        <f ca="1"/>
        <v>0</v>
      </c>
      <c r="AH576" s="2">
        <f ca="1"/>
        <v>0.10082717655370078</v>
      </c>
      <c r="AI576" s="2">
        <f ca="1"/>
        <v>0.18146033937596251</v>
      </c>
      <c r="AJ576" s="2">
        <f ca="1"/>
        <v>6.7079075620447792E-2</v>
      </c>
      <c r="AK576" s="2">
        <f ca="1"/>
        <v>3.3246156941978494E-2</v>
      </c>
      <c r="AL576" s="2">
        <f ca="1"/>
        <v>0.29856848018966475</v>
      </c>
      <c r="AM576" s="2">
        <f ca="1"/>
        <v>9.928568135892421E-3</v>
      </c>
      <c r="AN576" s="2">
        <f ca="1"/>
        <v>0</v>
      </c>
      <c r="AO576" s="2">
        <f ca="1"/>
        <v>0.3716729105151711</v>
      </c>
      <c r="BP576" s="2">
        <f ca="1"/>
        <v>1.7416517642970486</v>
      </c>
      <c r="BQ576" s="2">
        <f ca="1"/>
        <v>1.2758059026473039</v>
      </c>
      <c r="BR576" s="2">
        <f ca="1"/>
        <v>1.3253373679042739</v>
      </c>
      <c r="BS576" s="2">
        <f ca="1"/>
        <v>1.9856877172123319</v>
      </c>
      <c r="BT576" s="2">
        <f ca="1"/>
        <v>1.065463008596762</v>
      </c>
      <c r="BU576" s="2">
        <f ca="1"/>
        <v>1.2410439883194075</v>
      </c>
      <c r="BV576" s="2">
        <f ca="1"/>
        <v>1.4378900025803749</v>
      </c>
      <c r="BW576" s="2">
        <f ca="1"/>
        <v>0.97126040104470968</v>
      </c>
      <c r="BX576" s="2">
        <f ca="1"/>
        <v>2.2652174103866227</v>
      </c>
    </row>
    <row r="577" spans="22:76" ht="24" customHeight="1">
      <c r="V577" s="2">
        <f ca="1"/>
        <v>0.49916684123325594</v>
      </c>
      <c r="AG577" s="2">
        <f ca="1"/>
        <v>0.50369704199224774</v>
      </c>
      <c r="AH577" s="2">
        <f ca="1"/>
        <v>0</v>
      </c>
      <c r="AI577" s="2">
        <f ca="1"/>
        <v>0.26657946961459633</v>
      </c>
      <c r="AJ577" s="2">
        <f ca="1"/>
        <v>0.13988960312111862</v>
      </c>
      <c r="AK577" s="2">
        <f ca="1"/>
        <v>0.10981414896171392</v>
      </c>
      <c r="AL577" s="2">
        <f ca="1"/>
        <v>0.18383631067514586</v>
      </c>
      <c r="AM577" s="2">
        <f ca="1"/>
        <v>0.5014220972620107</v>
      </c>
      <c r="AN577" s="2">
        <f ca="1"/>
        <v>0</v>
      </c>
      <c r="AO577" s="2">
        <f ca="1"/>
        <v>0.38993741443380386</v>
      </c>
      <c r="BP577" s="2">
        <f ca="1"/>
        <v>1.7041590410221148</v>
      </c>
      <c r="BQ577" s="2">
        <f ca="1"/>
        <v>1.2493268645774929</v>
      </c>
      <c r="BR577" s="2">
        <f ca="1"/>
        <v>1.2974593318973728</v>
      </c>
      <c r="BS577" s="2">
        <f ca="1"/>
        <v>1.9426010200632406</v>
      </c>
      <c r="BT577" s="2">
        <f ca="1"/>
        <v>1.0441680690046342</v>
      </c>
      <c r="BU577" s="2">
        <f ca="1"/>
        <v>1.2148425058846921</v>
      </c>
      <c r="BV577" s="2">
        <f ca="1"/>
        <v>1.407749846704569</v>
      </c>
      <c r="BW577" s="2">
        <f ca="1"/>
        <v>0.95223236769393327</v>
      </c>
      <c r="BX577" s="2">
        <f ca="1"/>
        <v>2.2161408038707284</v>
      </c>
    </row>
    <row r="578" spans="22:76" ht="24" customHeight="1">
      <c r="V578" s="3">
        <f ca="1"/>
        <v>0.4285973120969323</v>
      </c>
      <c r="AG578" s="3">
        <f ca="1"/>
        <v>0.42764464586783413</v>
      </c>
      <c r="AH578" s="3">
        <f ca="1"/>
        <v>0.32378310483667705</v>
      </c>
      <c r="AI578" s="3">
        <f ca="1"/>
        <v>0.17388080930881947</v>
      </c>
      <c r="AJ578" s="3">
        <f ca="1"/>
        <v>0.23771181119550835</v>
      </c>
      <c r="AK578" s="3">
        <f ca="1"/>
        <v>2.7949475246781322E-2</v>
      </c>
      <c r="AL578" s="3">
        <f ca="1"/>
        <v>9.3209657255314771E-2</v>
      </c>
      <c r="AM578" s="3">
        <f ca="1"/>
        <v>0.31983351344150107</v>
      </c>
      <c r="AN578" s="3">
        <f ca="1"/>
        <v>0.15668873726104432</v>
      </c>
      <c r="AO578" s="3">
        <f ca="1"/>
        <v>0.46764531281117327</v>
      </c>
      <c r="BP578" s="3">
        <f ca="1"/>
        <v>1.6504509233167455</v>
      </c>
      <c r="BQ578" s="3">
        <f ca="1"/>
        <v>1.2097071341061567</v>
      </c>
      <c r="BR578" s="3">
        <f ca="1"/>
        <v>1.2564607920042237</v>
      </c>
      <c r="BS578" s="3">
        <f ca="1"/>
        <v>1.881411933236925</v>
      </c>
      <c r="BT578" s="3">
        <f ca="1"/>
        <v>1.0108830457366103</v>
      </c>
      <c r="BU578" s="3">
        <f ca="1"/>
        <v>1.1763947628473284</v>
      </c>
      <c r="BV578" s="3">
        <f ca="1"/>
        <v>1.3632583086291461</v>
      </c>
      <c r="BW578" s="3">
        <f ca="1"/>
        <v>0.92179019966345754</v>
      </c>
      <c r="BX578" s="3">
        <f ca="1"/>
        <v>2.1462849314889185</v>
      </c>
    </row>
    <row r="587" spans="22:76" ht="24" customHeight="1">
      <c r="AG587" s="1" cm="1">
        <f t="array" aca="1" ref="AG587:AO601" ca="1">BP564:BX578+AG564:AO578</f>
        <v>3.1081727785895956</v>
      </c>
      <c r="AH587" s="1">
        <f ca="1"/>
        <v>2.5495467863510117</v>
      </c>
      <c r="AI587" s="1">
        <f ca="1"/>
        <v>2.3005507525815903</v>
      </c>
      <c r="AJ587" s="1">
        <f ca="1"/>
        <v>3.918113595867148</v>
      </c>
      <c r="AK587" s="1">
        <f ca="1"/>
        <v>1.9002387800556511</v>
      </c>
      <c r="AL587" s="1">
        <f ca="1"/>
        <v>2.8903221807175528</v>
      </c>
      <c r="AM587" s="1">
        <f ca="1"/>
        <v>2.2596565192584883</v>
      </c>
      <c r="AN587" s="1">
        <f ca="1"/>
        <v>1.9715564108369013</v>
      </c>
      <c r="AO587" s="1">
        <f ca="1"/>
        <v>4.3385698080980628</v>
      </c>
    </row>
    <row r="588" spans="22:76" ht="24" customHeight="1">
      <c r="AG588" s="2">
        <f ca="1"/>
        <v>2.2577929725173762</v>
      </c>
      <c r="AH588" s="2">
        <f ca="1"/>
        <v>1.9920652189451833</v>
      </c>
      <c r="AI588" s="2">
        <f ca="1"/>
        <v>1.9846338034314717</v>
      </c>
      <c r="AJ588" s="2">
        <f ca="1"/>
        <v>3.059397645846782</v>
      </c>
      <c r="AK588" s="2">
        <f ca="1"/>
        <v>1.5358914146810798</v>
      </c>
      <c r="AL588" s="2">
        <f ca="1"/>
        <v>1.852869814211149</v>
      </c>
      <c r="AM588" s="2">
        <f ca="1"/>
        <v>2.0723817196613892</v>
      </c>
      <c r="AN588" s="2">
        <f ca="1"/>
        <v>1.2638090898390226</v>
      </c>
      <c r="AO588" s="2">
        <f ca="1"/>
        <v>3.2133719110952894</v>
      </c>
    </row>
    <row r="589" spans="22:76" ht="24" customHeight="1">
      <c r="AG589" s="2">
        <f ca="1"/>
        <v>1.5563344469848319</v>
      </c>
      <c r="AH589" s="2">
        <f ca="1"/>
        <v>1.4536199050642904</v>
      </c>
      <c r="AI589" s="2">
        <f ca="1"/>
        <v>1.5117696851185198</v>
      </c>
      <c r="AJ589" s="2">
        <f ca="1"/>
        <v>1.9838695934921857</v>
      </c>
      <c r="AK589" s="2">
        <f ca="1"/>
        <v>1.1028915205947845</v>
      </c>
      <c r="AL589" s="2">
        <f ca="1"/>
        <v>1.8332956654619132</v>
      </c>
      <c r="AM589" s="2">
        <f ca="1"/>
        <v>1.2916811554425107</v>
      </c>
      <c r="AN589" s="2">
        <f ca="1"/>
        <v>1.0156101004816238</v>
      </c>
      <c r="AO589" s="2">
        <f ca="1"/>
        <v>2.5299452735979391</v>
      </c>
    </row>
    <row r="590" spans="22:76" ht="24" customHeight="1">
      <c r="AG590" s="2">
        <f ca="1"/>
        <v>2.0201901451458473</v>
      </c>
      <c r="AH590" s="2">
        <f ca="1"/>
        <v>1.299526243721594</v>
      </c>
      <c r="AI590" s="2">
        <f ca="1"/>
        <v>1.615256956986566</v>
      </c>
      <c r="AJ590" s="2">
        <f ca="1"/>
        <v>2.0152228470979345</v>
      </c>
      <c r="AK590" s="2">
        <f ca="1"/>
        <v>1.1660209783819326</v>
      </c>
      <c r="AL590" s="2">
        <f ca="1"/>
        <v>1.6220925185501065</v>
      </c>
      <c r="AM590" s="2">
        <f ca="1"/>
        <v>1.6978852208368715</v>
      </c>
      <c r="AN590" s="2">
        <f ca="1"/>
        <v>0.99571320893476034</v>
      </c>
      <c r="AO590" s="2">
        <f ca="1"/>
        <v>2.4237581429117219</v>
      </c>
    </row>
    <row r="591" spans="22:76" ht="24" customHeight="1">
      <c r="AG591" s="3">
        <f ca="1"/>
        <v>1.8770084341585656</v>
      </c>
      <c r="AH591" s="3">
        <f ca="1"/>
        <v>1.493386735586711</v>
      </c>
      <c r="AI591" s="3">
        <f ca="1"/>
        <v>1.4007719822740297</v>
      </c>
      <c r="AJ591" s="3">
        <f ca="1"/>
        <v>2.0830316372008224</v>
      </c>
      <c r="AK591" s="3">
        <f ca="1"/>
        <v>1.0408593869522509</v>
      </c>
      <c r="AL591" s="3">
        <f ca="1"/>
        <v>1.5044161720016482</v>
      </c>
      <c r="AM591" s="3">
        <f ca="1"/>
        <v>1.4812304367008524</v>
      </c>
      <c r="AN591" s="3">
        <f ca="1"/>
        <v>1.1446913173400766</v>
      </c>
      <c r="AO591" s="3">
        <f ca="1"/>
        <v>2.49038606138362</v>
      </c>
    </row>
    <row r="592" spans="22:76" ht="24" customHeight="1">
      <c r="AG592" s="1">
        <f ca="1"/>
        <v>3.354368521007201</v>
      </c>
      <c r="AH592" s="1">
        <f ca="1"/>
        <v>2.6529024129627019</v>
      </c>
      <c r="AI592" s="1">
        <f ca="1"/>
        <v>2.7396763061843745</v>
      </c>
      <c r="AJ592" s="1">
        <f ca="1"/>
        <v>4.0558938098928836</v>
      </c>
      <c r="AK592" s="1">
        <f ca="1"/>
        <v>2.2029703469078536</v>
      </c>
      <c r="AL592" s="1">
        <f ca="1"/>
        <v>2.7506022608080984</v>
      </c>
      <c r="AM592" s="1">
        <f ca="1"/>
        <v>2.721968761739308</v>
      </c>
      <c r="AN592" s="1">
        <f ca="1"/>
        <v>2.1128074816094853</v>
      </c>
      <c r="AO592" s="1">
        <f ca="1"/>
        <v>4.2365042297529882</v>
      </c>
    </row>
    <row r="593" spans="33:41" ht="24" customHeight="1">
      <c r="AG593" s="2">
        <f ca="1"/>
        <v>2.3893532193455163</v>
      </c>
      <c r="AH593" s="2">
        <f ca="1"/>
        <v>2.2555501335455181</v>
      </c>
      <c r="AI593" s="2">
        <f ca="1"/>
        <v>2.5235821715860878</v>
      </c>
      <c r="AJ593" s="2">
        <f ca="1"/>
        <v>3.1512756660840768</v>
      </c>
      <c r="AK593" s="2">
        <f ca="1"/>
        <v>1.8393614726208516</v>
      </c>
      <c r="AL593" s="2">
        <f ca="1"/>
        <v>1.8453542686003903</v>
      </c>
      <c r="AM593" s="2">
        <f ca="1"/>
        <v>2.5187992478589609</v>
      </c>
      <c r="AN593" s="2">
        <f ca="1"/>
        <v>1.3763048129505078</v>
      </c>
      <c r="AO593" s="2">
        <f ca="1"/>
        <v>3.1538713410185437</v>
      </c>
    </row>
    <row r="594" spans="33:41" ht="24" customHeight="1">
      <c r="AG594" s="2">
        <f ca="1"/>
        <v>1.7142487473923678</v>
      </c>
      <c r="AH594" s="2">
        <f ca="1"/>
        <v>1.5106810287127295</v>
      </c>
      <c r="AI594" s="2">
        <f ca="1"/>
        <v>1.939144286711602</v>
      </c>
      <c r="AJ594" s="2">
        <f ca="1"/>
        <v>2.0481752309237775</v>
      </c>
      <c r="AK594" s="2">
        <f ca="1"/>
        <v>1.2816546801653792</v>
      </c>
      <c r="AL594" s="2">
        <f ca="1"/>
        <v>1.7267043031647551</v>
      </c>
      <c r="AM594" s="2">
        <f ca="1"/>
        <v>1.5286391156015258</v>
      </c>
      <c r="AN594" s="2">
        <f ca="1"/>
        <v>1.1060128310614148</v>
      </c>
      <c r="AO594" s="2">
        <f ca="1"/>
        <v>2.4803308136615767</v>
      </c>
    </row>
    <row r="595" spans="33:41" ht="24" customHeight="1">
      <c r="AG595" s="2">
        <f ca="1"/>
        <v>1.9866623434844795</v>
      </c>
      <c r="AH595" s="2">
        <f ca="1"/>
        <v>1.419132322111974</v>
      </c>
      <c r="AI595" s="2">
        <f ca="1"/>
        <v>1.6969229553304539</v>
      </c>
      <c r="AJ595" s="2">
        <f ca="1"/>
        <v>2.0365975586891354</v>
      </c>
      <c r="AK595" s="2">
        <f ca="1"/>
        <v>1.2516768625289343</v>
      </c>
      <c r="AL595" s="2">
        <f ca="1"/>
        <v>1.7717954145150374</v>
      </c>
      <c r="AM595" s="2">
        <f ca="1"/>
        <v>1.8922123188445639</v>
      </c>
      <c r="AN595" s="2">
        <f ca="1"/>
        <v>1.0843448530267019</v>
      </c>
      <c r="AO595" s="2">
        <f ca="1"/>
        <v>2.3596435254952914</v>
      </c>
    </row>
    <row r="596" spans="33:41" ht="24" customHeight="1">
      <c r="AG596" s="3">
        <f ca="1"/>
        <v>1.8892886879307058</v>
      </c>
      <c r="AH596" s="3">
        <f ca="1"/>
        <v>1.5895738823112597</v>
      </c>
      <c r="AI596" s="3">
        <f ca="1"/>
        <v>1.6337442856929911</v>
      </c>
      <c r="AJ596" s="3">
        <f ca="1"/>
        <v>2.2278340678882986</v>
      </c>
      <c r="AK596" s="3">
        <f ca="1"/>
        <v>1.2026352880550657</v>
      </c>
      <c r="AL596" s="3">
        <f ca="1"/>
        <v>1.4474215093083793</v>
      </c>
      <c r="AM596" s="3">
        <f ca="1"/>
        <v>1.6412850335025078</v>
      </c>
      <c r="AN596" s="3">
        <f ca="1"/>
        <v>1.3988498078960641</v>
      </c>
      <c r="AO596" s="3">
        <f ca="1"/>
        <v>2.6443033067886943</v>
      </c>
    </row>
    <row r="597" spans="33:41" ht="24" customHeight="1">
      <c r="AG597" s="1">
        <f ca="1"/>
        <v>3.4278127572770423</v>
      </c>
      <c r="AH597" s="1">
        <f ca="1"/>
        <v>2.410785121538892</v>
      </c>
      <c r="AI597" s="1">
        <f ca="1"/>
        <v>2.2960502780818608</v>
      </c>
      <c r="AJ597" s="1">
        <f ca="1"/>
        <v>4.0214322650296577</v>
      </c>
      <c r="AK597" s="1">
        <f ca="1"/>
        <v>1.8939704423876136</v>
      </c>
      <c r="AL597" s="1">
        <f ca="1"/>
        <v>2.452152380213326</v>
      </c>
      <c r="AM597" s="1">
        <f ca="1"/>
        <v>2.5223967842171153</v>
      </c>
      <c r="AN597" s="1">
        <f ca="1"/>
        <v>1.925438712198464</v>
      </c>
      <c r="AO597" s="1">
        <f ca="1"/>
        <v>4.5887815215177277</v>
      </c>
    </row>
    <row r="598" spans="33:41" ht="24" customHeight="1">
      <c r="AG598" s="2">
        <f ca="1"/>
        <v>2.5452888565606662</v>
      </c>
      <c r="AH598" s="2">
        <f ca="1"/>
        <v>1.9870456407564328</v>
      </c>
      <c r="AI598" s="2">
        <f ca="1"/>
        <v>1.9995562928434336</v>
      </c>
      <c r="AJ598" s="2">
        <f ca="1"/>
        <v>3.1388675154962389</v>
      </c>
      <c r="AK598" s="2">
        <f ca="1"/>
        <v>1.53231075650423</v>
      </c>
      <c r="AL598" s="2">
        <f ca="1"/>
        <v>1.5606048742361995</v>
      </c>
      <c r="AM598" s="2">
        <f ca="1"/>
        <v>2.3395238426730209</v>
      </c>
      <c r="AN598" s="2">
        <f ca="1"/>
        <v>1.2086210277535623</v>
      </c>
      <c r="AO598" s="2">
        <f ca="1"/>
        <v>3.3556970790824154</v>
      </c>
    </row>
    <row r="599" spans="33:41" ht="24" customHeight="1">
      <c r="AG599" s="2">
        <f ca="1"/>
        <v>1.7416517642970486</v>
      </c>
      <c r="AH599" s="2">
        <f ca="1"/>
        <v>1.3766330792010046</v>
      </c>
      <c r="AI599" s="2">
        <f ca="1"/>
        <v>1.5067977072802363</v>
      </c>
      <c r="AJ599" s="2">
        <f ca="1"/>
        <v>2.05276679283278</v>
      </c>
      <c r="AK599" s="2">
        <f ca="1"/>
        <v>1.0987091655387404</v>
      </c>
      <c r="AL599" s="2">
        <f ca="1"/>
        <v>1.5396124685090724</v>
      </c>
      <c r="AM599" s="2">
        <f ca="1"/>
        <v>1.4478185707162674</v>
      </c>
      <c r="AN599" s="2">
        <f ca="1"/>
        <v>0.97126040104470968</v>
      </c>
      <c r="AO599" s="2">
        <f ca="1"/>
        <v>2.6368903209017938</v>
      </c>
    </row>
    <row r="600" spans="33:41" ht="24" customHeight="1">
      <c r="AG600" s="2">
        <f ca="1"/>
        <v>2.2078560830143625</v>
      </c>
      <c r="AH600" s="2">
        <f ca="1"/>
        <v>1.2493268645774929</v>
      </c>
      <c r="AI600" s="2">
        <f ca="1"/>
        <v>1.5640388015119693</v>
      </c>
      <c r="AJ600" s="2">
        <f ca="1"/>
        <v>2.0824906231843592</v>
      </c>
      <c r="AK600" s="2">
        <f ca="1"/>
        <v>1.1539822179663481</v>
      </c>
      <c r="AL600" s="2">
        <f ca="1"/>
        <v>1.3986788165598381</v>
      </c>
      <c r="AM600" s="2">
        <f ca="1"/>
        <v>1.9091719439665797</v>
      </c>
      <c r="AN600" s="2">
        <f ca="1"/>
        <v>0.95223236769393327</v>
      </c>
      <c r="AO600" s="2">
        <f ca="1"/>
        <v>2.6060782183045323</v>
      </c>
    </row>
    <row r="601" spans="33:41" ht="24" customHeight="1">
      <c r="AG601" s="3">
        <f ca="1"/>
        <v>2.0780955691845797</v>
      </c>
      <c r="AH601" s="3">
        <f ca="1"/>
        <v>1.5334902389428338</v>
      </c>
      <c r="AI601" s="3">
        <f ca="1"/>
        <v>1.4303416013130432</v>
      </c>
      <c r="AJ601" s="3">
        <f ca="1"/>
        <v>2.1191237444324336</v>
      </c>
      <c r="AK601" s="3">
        <f ca="1"/>
        <v>1.0388325209833915</v>
      </c>
      <c r="AL601" s="3">
        <f ca="1"/>
        <v>1.2696044201026431</v>
      </c>
      <c r="AM601" s="3">
        <f ca="1"/>
        <v>1.6830918220706472</v>
      </c>
      <c r="AN601" s="3">
        <f ca="1"/>
        <v>1.0784789369245018</v>
      </c>
      <c r="AO601" s="3">
        <f ca="1"/>
        <v>2.613930244300092</v>
      </c>
    </row>
  </sheetData>
  <conditionalFormatting sqref="F347:M3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26:X33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47:X354">
    <cfRule type="colorScale" priority="2">
      <colorScale>
        <cfvo type="min"/>
        <cfvo type="max"/>
        <color rgb="FFFCFCFF"/>
        <color rgb="FFF8696B"/>
      </colorScale>
    </cfRule>
  </conditionalFormatting>
  <conditionalFormatting sqref="AG527:AO535">
    <cfRule type="colorScale" priority="6">
      <colorScale>
        <cfvo type="min"/>
        <cfvo type="max"/>
        <color rgb="FFFCFCFF"/>
        <color rgb="FF63BE7B"/>
      </colorScale>
    </cfRule>
  </conditionalFormatting>
  <conditionalFormatting sqref="BP489:BX491">
    <cfRule type="colorScale" priority="5">
      <colorScale>
        <cfvo type="min"/>
        <cfvo type="max"/>
        <color rgb="FFFCFCFF"/>
        <color rgb="FF63BE7B"/>
      </colorScale>
    </cfRule>
  </conditionalFormatting>
  <conditionalFormatting sqref="BP560:BX562">
    <cfRule type="colorScale" priority="4">
      <colorScale>
        <cfvo type="min"/>
        <cfvo type="max"/>
        <color rgb="FFFCFCFF"/>
        <color rgb="FF63BE7B"/>
      </colorScale>
    </cfRule>
  </conditionalFormatting>
  <hyperlinks>
    <hyperlink ref="A2" r:id="rId1" xr:uid="{FDA5DC18-10BA-A643-AE7A-4D30479C9EF3}"/>
  </hyperlinks>
  <pageMargins left="0.7" right="0.7" top="0.75" bottom="0.75" header="0.3" footer="0.3"/>
  <pageSetup fitToHeight="21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8095-39C4-5245-8A8E-01852683D398}">
  <dimension ref="A1:A22"/>
  <sheetViews>
    <sheetView tabSelected="1" workbookViewId="0">
      <selection activeCell="A33" sqref="A33"/>
    </sheetView>
  </sheetViews>
  <sheetFormatPr defaultColWidth="11" defaultRowHeight="15.95"/>
  <cols>
    <col min="1" max="1" width="100.625" customWidth="1"/>
  </cols>
  <sheetData>
    <row r="1" spans="1:1" ht="20.100000000000001">
      <c r="A1" s="61" t="s">
        <v>32</v>
      </c>
    </row>
    <row r="2" spans="1:1" ht="17.100000000000001">
      <c r="A2" s="62" t="s">
        <v>33</v>
      </c>
    </row>
    <row r="3" spans="1:1">
      <c r="A3" s="62"/>
    </row>
    <row r="4" spans="1:1" ht="33.950000000000003">
      <c r="A4" s="62" t="s">
        <v>34</v>
      </c>
    </row>
    <row r="5" spans="1:1">
      <c r="A5" s="63"/>
    </row>
    <row r="6" spans="1:1" ht="17.100000000000001">
      <c r="A6" s="64" t="s">
        <v>35</v>
      </c>
    </row>
    <row r="7" spans="1:1" ht="33.950000000000003">
      <c r="A7" s="62" t="s">
        <v>36</v>
      </c>
    </row>
    <row r="8" spans="1:1" ht="33.950000000000003">
      <c r="A8" s="62" t="s">
        <v>37</v>
      </c>
    </row>
    <row r="9" spans="1:1">
      <c r="A9" s="62"/>
    </row>
    <row r="10" spans="1:1" ht="17.100000000000001">
      <c r="A10" s="64" t="s">
        <v>38</v>
      </c>
    </row>
    <row r="11" spans="1:1" ht="33.950000000000003">
      <c r="A11" s="62" t="s">
        <v>39</v>
      </c>
    </row>
    <row r="12" spans="1:1" ht="17.100000000000001">
      <c r="A12" s="62" t="s">
        <v>40</v>
      </c>
    </row>
    <row r="13" spans="1:1" ht="33.950000000000003">
      <c r="A13" s="62" t="s">
        <v>41</v>
      </c>
    </row>
    <row r="14" spans="1:1">
      <c r="A14" s="62"/>
    </row>
    <row r="15" spans="1:1" ht="17.100000000000001">
      <c r="A15" s="64" t="s">
        <v>42</v>
      </c>
    </row>
    <row r="16" spans="1:1" ht="33.950000000000003">
      <c r="A16" s="62" t="s">
        <v>43</v>
      </c>
    </row>
    <row r="17" spans="1:1">
      <c r="A17" s="62"/>
    </row>
    <row r="18" spans="1:1" ht="17.100000000000001">
      <c r="A18" s="64" t="s">
        <v>44</v>
      </c>
    </row>
    <row r="19" spans="1:1" ht="33.950000000000003">
      <c r="A19" s="62" t="s">
        <v>45</v>
      </c>
    </row>
    <row r="20" spans="1:1">
      <c r="A20" s="62"/>
    </row>
    <row r="21" spans="1:1" ht="17.100000000000001">
      <c r="A21" s="64" t="s">
        <v>46</v>
      </c>
    </row>
    <row r="22" spans="1:1" ht="33.950000000000003">
      <c r="A22" s="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2026-01-04T12:15:28Z</dcterms:created>
  <dcterms:modified xsi:type="dcterms:W3CDTF">2026-03-21T14:05:08Z</dcterms:modified>
  <cp:category/>
  <cp:contentStatus/>
</cp:coreProperties>
</file>