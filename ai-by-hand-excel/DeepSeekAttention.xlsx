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2025/Academy/Blueprints/"/>
    </mc:Choice>
  </mc:AlternateContent>
  <xr:revisionPtr revIDLastSave="0" documentId="8_{C6A75CF9-1342-4EBF-8B2D-6EFBD8091E9E}" xr6:coauthVersionLast="47" xr6:coauthVersionMax="47" xr10:uidLastSave="{00000000-0000-0000-0000-000000000000}"/>
  <bookViews>
    <workbookView xWindow="0" yWindow="780" windowWidth="34200" windowHeight="21360" firstSheet="1" activeTab="1" xr2:uid="{FE2C95DA-9F54-C349-88CA-14FB592A5A84}"/>
  </bookViews>
  <sheets>
    <sheet name="DeepSeek Sparse Attention" sheetId="10" r:id="rId1"/>
    <sheet name="LICENSE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78" i="10" l="1" a="1"/>
  <c r="CM78" i="10" s="1"/>
  <c r="AJ44" i="10" a="1"/>
  <c r="AJ44" i="10" s="1"/>
  <c r="AJ27" i="10" l="1" a="1"/>
  <c r="AJ27" i="10" s="1"/>
  <c r="AJ15" i="10" a="1"/>
  <c r="AT47" i="10" a="1"/>
  <c r="AJ20" i="10" a="1"/>
  <c r="AJ15" i="10" l="1"/>
  <c r="AJ115" i="10" s="1" a="1"/>
  <c r="AR27" i="10" a="1"/>
  <c r="AR27" i="10" s="1"/>
  <c r="AT47" i="10"/>
  <c r="AR33" i="10" a="1"/>
  <c r="AT58" i="10" a="1"/>
  <c r="AJ20" i="10"/>
  <c r="AJ68" i="10" s="1" a="1"/>
  <c r="AJ115" i="10" l="1"/>
  <c r="AJ128" i="10" a="1"/>
  <c r="AJ120" i="10" a="1"/>
  <c r="AJ120" i="10" s="1"/>
  <c r="CM116" i="10" s="1" a="1"/>
  <c r="CM116" i="10" s="1"/>
  <c r="AJ86" i="10" a="1"/>
  <c r="AJ86" i="10" s="1"/>
  <c r="AJ99" i="10" s="1" a="1"/>
  <c r="AJ144" i="10" a="1"/>
  <c r="AJ48" i="10" a="1"/>
  <c r="AJ48" i="10" s="1"/>
  <c r="AJ56" i="10" s="1" a="1"/>
  <c r="AJ56" i="10" s="1"/>
  <c r="BC47" i="10" s="1" a="1"/>
  <c r="BC47" i="10" s="1"/>
  <c r="AT58" i="10"/>
  <c r="AJ68" i="10"/>
  <c r="AJ73" i="10" s="1" a="1"/>
  <c r="AR33" i="10"/>
  <c r="BE27" i="10" s="1" a="1"/>
  <c r="AJ91" i="10" l="1" a="1"/>
  <c r="AJ144" i="10"/>
  <c r="AJ157" i="10" a="1"/>
  <c r="AJ149" i="10" a="1"/>
  <c r="AJ149" i="10" s="1"/>
  <c r="CM145" i="10" s="1" a="1"/>
  <c r="CM145" i="10" s="1"/>
  <c r="AJ128" i="10"/>
  <c r="AR128" i="10" s="1" a="1"/>
  <c r="AR128" i="10" s="1"/>
  <c r="AJ73" i="10"/>
  <c r="BZ78" i="10" a="1"/>
  <c r="BZ78" i="10" s="1"/>
  <c r="AJ99" i="10"/>
  <c r="AR99" i="10" s="1" a="1"/>
  <c r="AR99" i="10" s="1"/>
  <c r="BE27" i="10"/>
  <c r="BK27" i="10" s="1" a="1"/>
  <c r="BK27" i="10" s="1"/>
  <c r="BK33" i="10" a="1"/>
  <c r="BK33" i="10" s="1"/>
  <c r="AJ80" i="10" a="1"/>
  <c r="AJ53" i="10" a="1"/>
  <c r="AJ53" i="10" s="1"/>
  <c r="AW43" i="10" s="1" a="1"/>
  <c r="AJ58" i="10" a="1"/>
  <c r="AJ58" i="10" s="1"/>
  <c r="AW54" i="10" s="1" a="1"/>
  <c r="AJ61" i="10" a="1"/>
  <c r="AJ61" i="10" s="1"/>
  <c r="BC58" i="10" s="1" a="1"/>
  <c r="BC58" i="10" s="1"/>
  <c r="AJ91" i="10"/>
  <c r="CM87" i="10" s="1" a="1"/>
  <c r="CM87" i="10" s="1"/>
  <c r="AJ157" i="10" l="1"/>
  <c r="AR163" i="10" s="1" a="1"/>
  <c r="AR163" i="10" s="1"/>
  <c r="AR157" i="10" a="1"/>
  <c r="AR157" i="10" s="1"/>
  <c r="BE157" i="10" s="1" a="1"/>
  <c r="AR134" i="10" a="1"/>
  <c r="AR134" i="10" s="1"/>
  <c r="BE128" i="10" s="1" a="1"/>
  <c r="AJ80" i="10"/>
  <c r="CM108" i="10" s="1" a="1"/>
  <c r="AR105" i="10" a="1"/>
  <c r="AR105" i="10" s="1"/>
  <c r="BE99" i="10" s="1" a="1"/>
  <c r="BR30" i="10" a="1"/>
  <c r="BR30" i="10" s="1"/>
  <c r="BR27" i="10" a="1"/>
  <c r="BR27" i="10" s="1"/>
  <c r="CF78" i="10" s="1" a="1"/>
  <c r="CF78" i="10" s="1"/>
  <c r="BZ101" i="10" s="1" a="1"/>
  <c r="BZ130" i="10" s="1" a="1"/>
  <c r="AW54" i="10"/>
  <c r="AW58" i="10" s="1" a="1"/>
  <c r="AW58" i="10" s="1"/>
  <c r="BE58" i="10" s="1" a="1"/>
  <c r="BE58" i="10" s="1"/>
  <c r="AW43" i="10"/>
  <c r="AW47" i="10" s="1" a="1"/>
  <c r="AW47" i="10" s="1"/>
  <c r="BE47" i="10" s="1" a="1"/>
  <c r="CM166" i="10" l="1" a="1"/>
  <c r="CM137" i="10" a="1"/>
  <c r="CM137" i="10" s="1"/>
  <c r="BK134" i="10" a="1"/>
  <c r="BK134" i="10" s="1"/>
  <c r="BR131" i="10" s="1" a="1"/>
  <c r="BR131" i="10" s="1"/>
  <c r="BE128" i="10"/>
  <c r="BK128" i="10" s="1" a="1"/>
  <c r="BK128" i="10" s="1"/>
  <c r="BR128" i="10" s="1" a="1"/>
  <c r="BR128" i="10" s="1"/>
  <c r="CM122" i="10" s="1" a="1"/>
  <c r="CM122" i="10" s="1"/>
  <c r="BE157" i="10"/>
  <c r="BK157" i="10" s="1" a="1"/>
  <c r="BK157" i="10" s="1"/>
  <c r="BR157" i="10" s="1" a="1"/>
  <c r="BR157" i="10" s="1"/>
  <c r="BK163" i="10" a="1"/>
  <c r="BZ159" i="10" a="1"/>
  <c r="BZ130" i="10"/>
  <c r="BZ101" i="10"/>
  <c r="BE99" i="10"/>
  <c r="BK99" i="10" s="1" a="1"/>
  <c r="BK99" i="10" s="1"/>
  <c r="BR99" i="10" s="1" a="1"/>
  <c r="BR99" i="10" s="1"/>
  <c r="BK105" i="10" a="1"/>
  <c r="BE47" i="10"/>
  <c r="BO47" i="10" s="1" a="1"/>
  <c r="CM108" i="10"/>
  <c r="BK163" i="10" l="1"/>
  <c r="BR160" i="10" a="1"/>
  <c r="BR160" i="10" s="1"/>
  <c r="CM151" i="10" s="1" a="1"/>
  <c r="CM151" i="10" s="1"/>
  <c r="BZ159" i="10"/>
  <c r="CM166" i="10"/>
  <c r="BK105" i="10"/>
  <c r="BR102" i="10" s="1" a="1"/>
  <c r="BR102" i="10" s="1"/>
  <c r="CM93" i="10" s="1" a="1"/>
  <c r="CM93" i="10" s="1"/>
  <c r="BO47" i="10"/>
  <c r="CA47" i="10" s="1" a="1"/>
  <c r="CA47" i="10" l="1"/>
  <c r="CG47" i="10" s="1" a="1"/>
  <c r="CG47" i="10" s="1"/>
  <c r="CK47" i="10" a="1"/>
  <c r="CK47" i="10" s="1"/>
  <c r="CJ47" i="10" a="1"/>
  <c r="CJ47" i="10" s="1"/>
  <c r="CH47" i="10" a="1"/>
  <c r="CH47" i="10" s="1"/>
  <c r="CI47" i="10" a="1"/>
  <c r="CI47" i="10" s="1"/>
  <c r="CM47" i="10" l="1" a="1"/>
  <c r="CM47" i="10" l="1"/>
  <c r="CM101" i="10" l="1" a="1"/>
  <c r="CM101" i="10" s="1"/>
  <c r="CM130" i="10" a="1"/>
  <c r="CM159" i="10" a="1"/>
  <c r="CM130" i="10"/>
  <c r="CS130" i="10" s="1" a="1"/>
  <c r="CS130" i="10" s="1"/>
  <c r="CU130" i="10" a="1"/>
  <c r="CU130" i="10" s="1"/>
  <c r="CV130" i="10" a="1"/>
  <c r="CV130" i="10" s="1"/>
  <c r="CW130" i="10" a="1"/>
  <c r="CW130" i="10" s="1"/>
  <c r="CT130" i="10" a="1"/>
  <c r="CT130" i="10" s="1"/>
  <c r="CS101" i="10" a="1"/>
  <c r="CS101" i="10" s="1"/>
  <c r="CW101" i="10" a="1"/>
  <c r="CW101" i="10" s="1"/>
  <c r="CU101" i="10" a="1"/>
  <c r="CU101" i="10" s="1"/>
  <c r="CV101" i="10" a="1"/>
  <c r="CV101" i="10" s="1"/>
  <c r="CT101" i="10" a="1"/>
  <c r="CT101" i="10" s="1"/>
  <c r="CU159" i="10" l="1" a="1"/>
  <c r="CU159" i="10" s="1"/>
  <c r="CM159" i="10"/>
  <c r="CS159" i="10" s="1" a="1"/>
  <c r="CS159" i="10" s="1"/>
  <c r="CV159" i="10" a="1"/>
  <c r="CV159" i="10" s="1"/>
  <c r="CT159" i="10" a="1"/>
  <c r="CT159" i="10" s="1"/>
  <c r="CW159" i="10" a="1"/>
  <c r="CW159" i="10" s="1"/>
  <c r="CS137" i="10" a="1"/>
  <c r="CS108" i="10" a="1"/>
  <c r="CS137" i="10" l="1"/>
  <c r="AJ180" i="10" a="1"/>
  <c r="AJ180" i="10" s="1"/>
  <c r="CS166" i="10" a="1"/>
  <c r="CS108" i="10"/>
  <c r="AJ176" i="10" s="1" a="1"/>
  <c r="AJ176" i="10" s="1"/>
  <c r="CS166" i="10" l="1"/>
  <c r="AJ184" i="10" a="1"/>
  <c r="AJ184" i="10" s="1"/>
  <c r="AJ190" i="10" s="1" a="1"/>
  <c r="AJ190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<sst xmlns="http://schemas.openxmlformats.org/spreadsheetml/2006/main" count="533" uniqueCount="89">
  <si>
    <t>H</t>
  </si>
  <si>
    <t>Compress</t>
  </si>
  <si>
    <t>↓</t>
  </si>
  <si>
    <r>
      <t>W</t>
    </r>
    <r>
      <rPr>
        <vertAlign val="superscript"/>
        <sz val="12"/>
        <color theme="1"/>
        <rFont val="Aptos Narrow (Body)"/>
      </rPr>
      <t>DQ</t>
    </r>
  </si>
  <si>
    <r>
      <t>C</t>
    </r>
    <r>
      <rPr>
        <vertAlign val="superscript"/>
        <sz val="12"/>
        <color theme="1"/>
        <rFont val="Aptos Narrow (Body)"/>
      </rPr>
      <t>Q</t>
    </r>
    <r>
      <rPr>
        <sz val="12"/>
        <color theme="1"/>
        <rFont val="Aptos Narrow"/>
        <family val="2"/>
        <scheme val="minor"/>
      </rPr>
      <t xml:space="preserve"> = W</t>
    </r>
    <r>
      <rPr>
        <vertAlign val="superscript"/>
        <sz val="12"/>
        <color theme="1"/>
        <rFont val="Aptos Narrow (Body)"/>
      </rPr>
      <t>DQ</t>
    </r>
    <r>
      <rPr>
        <sz val="12"/>
        <color theme="1"/>
        <rFont val="Aptos Narrow"/>
        <family val="2"/>
        <scheme val="minor"/>
      </rPr>
      <t>⋅ H</t>
    </r>
  </si>
  <si>
    <t>→</t>
  </si>
  <si>
    <r>
      <t>W</t>
    </r>
    <r>
      <rPr>
        <vertAlign val="superscript"/>
        <sz val="12"/>
        <color theme="1"/>
        <rFont val="Aptos Narrow (Body)"/>
      </rPr>
      <t>DKV</t>
    </r>
  </si>
  <si>
    <r>
      <t>C</t>
    </r>
    <r>
      <rPr>
        <vertAlign val="superscript"/>
        <sz val="12"/>
        <color theme="4"/>
        <rFont val="Aptos Narrow (Body)"/>
      </rPr>
      <t>KV</t>
    </r>
    <r>
      <rPr>
        <sz val="12"/>
        <color theme="4"/>
        <rFont val="Aptos Narrow"/>
        <family val="2"/>
        <scheme val="minor"/>
      </rPr>
      <t xml:space="preserve"> = W</t>
    </r>
    <r>
      <rPr>
        <vertAlign val="superscript"/>
        <sz val="12"/>
        <color theme="4"/>
        <rFont val="Aptos Narrow (Body)"/>
      </rPr>
      <t>DKV</t>
    </r>
    <r>
      <rPr>
        <sz val="12"/>
        <color theme="4"/>
        <rFont val="Aptos Narrow"/>
        <family val="2"/>
        <scheme val="minor"/>
      </rPr>
      <t xml:space="preserve"> ⋅ H</t>
    </r>
  </si>
  <si>
    <r>
      <t>W</t>
    </r>
    <r>
      <rPr>
        <vertAlign val="superscript"/>
        <sz val="12"/>
        <color theme="1"/>
        <rFont val="Aptos Narrow (Body)"/>
      </rPr>
      <t>KR</t>
    </r>
  </si>
  <si>
    <r>
      <t>K = W</t>
    </r>
    <r>
      <rPr>
        <vertAlign val="superscript"/>
        <sz val="14"/>
        <color theme="1"/>
        <rFont val="Aptos Narrow (Body)"/>
      </rPr>
      <t>KR</t>
    </r>
    <r>
      <rPr>
        <sz val="14"/>
        <color theme="1"/>
        <rFont val="Aptos Narrow"/>
        <family val="2"/>
        <scheme val="minor"/>
      </rPr>
      <t xml:space="preserve"> ⋅ H</t>
    </r>
  </si>
  <si>
    <t>a' = a .* COS ⊕ b .* -SIN</t>
  </si>
  <si>
    <r>
      <t>K</t>
    </r>
    <r>
      <rPr>
        <vertAlign val="superscript"/>
        <sz val="14"/>
        <color theme="8" tint="-0.249977111117893"/>
        <rFont val="Aptos Narrow (Body)"/>
      </rPr>
      <t>R</t>
    </r>
    <r>
      <rPr>
        <sz val="14"/>
        <color theme="8" tint="-0.249977111117893"/>
        <rFont val="Aptos Narrow"/>
        <family val="2"/>
        <scheme val="minor"/>
      </rPr>
      <t xml:space="preserve"> = RoPE(K)</t>
    </r>
  </si>
  <si>
    <t>Key (Not compressed, RoPE)</t>
  </si>
  <si>
    <t>a</t>
  </si>
  <si>
    <t>.*</t>
  </si>
  <si>
    <t>COS</t>
  </si>
  <si>
    <t>a'</t>
  </si>
  <si>
    <t>b</t>
  </si>
  <si>
    <t>-SIN</t>
  </si>
  <si>
    <t>b'</t>
  </si>
  <si>
    <t>b' = a .* SIN ⊕ b .* COS</t>
  </si>
  <si>
    <t>SIN</t>
  </si>
  <si>
    <r>
      <t>K</t>
    </r>
    <r>
      <rPr>
        <vertAlign val="superscript"/>
        <sz val="14"/>
        <color theme="1"/>
        <rFont val="Aptos Narrow (Body)"/>
      </rPr>
      <t>ID</t>
    </r>
  </si>
  <si>
    <r>
      <t>Q</t>
    </r>
    <r>
      <rPr>
        <vertAlign val="superscript"/>
        <sz val="14"/>
        <color theme="1"/>
        <rFont val="Aptos Narrow (Body)"/>
      </rPr>
      <t>ID</t>
    </r>
    <r>
      <rPr>
        <sz val="14"/>
        <color theme="1"/>
        <rFont val="Aptos Narrow"/>
        <family val="2"/>
        <scheme val="minor"/>
      </rPr>
      <t>1</t>
    </r>
  </si>
  <si>
    <t>Top K</t>
  </si>
  <si>
    <t>K = 2</t>
  </si>
  <si>
    <r>
      <t>(K</t>
    </r>
    <r>
      <rPr>
        <vertAlign val="superscript"/>
        <sz val="14"/>
        <color theme="1"/>
        <rFont val="Aptos Narrow (Body)"/>
      </rPr>
      <t>ID</t>
    </r>
    <r>
      <rPr>
        <sz val="14"/>
        <color theme="1"/>
        <rFont val="Aptos Narrow"/>
        <family val="2"/>
        <scheme val="minor"/>
      </rPr>
      <t>)</t>
    </r>
    <r>
      <rPr>
        <vertAlign val="superscript"/>
        <sz val="14"/>
        <color theme="1"/>
        <rFont val="Aptos Narrow (Body)"/>
      </rPr>
      <t>T</t>
    </r>
  </si>
  <si>
    <r>
      <t>K</t>
    </r>
    <r>
      <rPr>
        <vertAlign val="superscript"/>
        <sz val="14"/>
        <color theme="1"/>
        <rFont val="Aptos Narrow (Body)"/>
      </rPr>
      <t>T</t>
    </r>
    <r>
      <rPr>
        <sz val="14"/>
        <color theme="1"/>
        <rFont val="Aptos Narrow"/>
        <family val="2"/>
        <scheme val="minor"/>
      </rPr>
      <t xml:space="preserve"> ⋅  Q</t>
    </r>
  </si>
  <si>
    <t>w1</t>
  </si>
  <si>
    <r>
      <t>S1 = w1 ⋅ K</t>
    </r>
    <r>
      <rPr>
        <vertAlign val="superscript"/>
        <sz val="14"/>
        <color theme="1"/>
        <rFont val="Aptos Narrow (Body)"/>
      </rPr>
      <t>T</t>
    </r>
    <r>
      <rPr>
        <sz val="14"/>
        <color theme="1"/>
        <rFont val="Aptos Narrow"/>
        <family val="2"/>
        <scheme val="minor"/>
      </rPr>
      <t xml:space="preserve"> ⋅  Q</t>
    </r>
  </si>
  <si>
    <t>Index Score</t>
  </si>
  <si>
    <t>Causal Mask</t>
  </si>
  <si>
    <t>Masked Index Score</t>
  </si>
  <si>
    <t>Rank</t>
  </si>
  <si>
    <t>TopK Mask</t>
  </si>
  <si>
    <r>
      <t>C</t>
    </r>
    <r>
      <rPr>
        <vertAlign val="superscript"/>
        <sz val="14"/>
        <color theme="1"/>
        <rFont val="Aptos Narrow (Body)"/>
      </rPr>
      <t>Q</t>
    </r>
  </si>
  <si>
    <t>S1+S2</t>
  </si>
  <si>
    <t>.+</t>
  </si>
  <si>
    <r>
      <t>Q</t>
    </r>
    <r>
      <rPr>
        <vertAlign val="superscript"/>
        <sz val="14"/>
        <color theme="1"/>
        <rFont val="Aptos Narrow (Body)"/>
      </rPr>
      <t>ID</t>
    </r>
    <r>
      <rPr>
        <sz val="14"/>
        <color theme="1"/>
        <rFont val="Aptos Narrow"/>
        <family val="2"/>
        <scheme val="minor"/>
      </rPr>
      <t>2</t>
    </r>
  </si>
  <si>
    <t>W1</t>
  </si>
  <si>
    <t>w2</t>
  </si>
  <si>
    <r>
      <t>S2 = w2 ⋅ K</t>
    </r>
    <r>
      <rPr>
        <vertAlign val="superscript"/>
        <sz val="14"/>
        <color theme="1"/>
        <rFont val="Aptos Narrow (Body)"/>
      </rPr>
      <t>T</t>
    </r>
    <r>
      <rPr>
        <sz val="14"/>
        <color theme="1"/>
        <rFont val="Aptos Narrow"/>
        <family val="2"/>
        <scheme val="minor"/>
      </rPr>
      <t xml:space="preserve"> ⋅  Q</t>
    </r>
  </si>
  <si>
    <t>W2</t>
  </si>
  <si>
    <r>
      <t>C</t>
    </r>
    <r>
      <rPr>
        <vertAlign val="superscript"/>
        <sz val="14"/>
        <color theme="4"/>
        <rFont val="Aptos Narrow (Body)"/>
      </rPr>
      <t>KV</t>
    </r>
  </si>
  <si>
    <r>
      <t>W</t>
    </r>
    <r>
      <rPr>
        <vertAlign val="superscript"/>
        <sz val="14"/>
        <color theme="1"/>
        <rFont val="Aptos Narrow (Body)"/>
      </rPr>
      <t>UK</t>
    </r>
  </si>
  <si>
    <r>
      <t>K</t>
    </r>
    <r>
      <rPr>
        <vertAlign val="superscript"/>
        <sz val="14"/>
        <color theme="1"/>
        <rFont val="Aptos Narrow (Body)"/>
      </rPr>
      <t>C</t>
    </r>
    <r>
      <rPr>
        <sz val="14"/>
        <color theme="1"/>
        <rFont val="Aptos Narrow"/>
        <family val="2"/>
        <scheme val="minor"/>
      </rPr>
      <t xml:space="preserve"> = W</t>
    </r>
    <r>
      <rPr>
        <vertAlign val="superscript"/>
        <sz val="14"/>
        <color theme="1"/>
        <rFont val="Aptos Narrow (Body)"/>
      </rPr>
      <t>UK</t>
    </r>
    <r>
      <rPr>
        <sz val="14"/>
        <color theme="1"/>
        <rFont val="Aptos Narrow"/>
        <family val="2"/>
        <scheme val="minor"/>
      </rPr>
      <t xml:space="preserve"> ⋅ C</t>
    </r>
    <r>
      <rPr>
        <vertAlign val="superscript"/>
        <sz val="14"/>
        <color theme="1"/>
        <rFont val="Aptos Narrow (Body)"/>
      </rPr>
      <t>KV</t>
    </r>
  </si>
  <si>
    <t>Key (Compressed, No RoPE)</t>
  </si>
  <si>
    <t>Shared Key</t>
  </si>
  <si>
    <t>Shared Value</t>
  </si>
  <si>
    <r>
      <t>(K</t>
    </r>
    <r>
      <rPr>
        <vertAlign val="superscript"/>
        <sz val="14"/>
        <color theme="1"/>
        <rFont val="Aptos Narrow (Body)"/>
      </rPr>
      <t>C</t>
    </r>
    <r>
      <rPr>
        <sz val="14"/>
        <color theme="1"/>
        <rFont val="Aptos Narrow (Body)"/>
      </rPr>
      <t>)</t>
    </r>
    <r>
      <rPr>
        <vertAlign val="superscript"/>
        <sz val="14"/>
        <color theme="1"/>
        <rFont val="Aptos Narrow (Body)"/>
      </rPr>
      <t>T</t>
    </r>
  </si>
  <si>
    <r>
      <t>(K</t>
    </r>
    <r>
      <rPr>
        <vertAlign val="superscript"/>
        <sz val="14"/>
        <color theme="1"/>
        <rFont val="Aptos Narrow (Body)"/>
      </rPr>
      <t>R</t>
    </r>
    <r>
      <rPr>
        <sz val="14"/>
        <color theme="1"/>
        <rFont val="Aptos Narrow"/>
        <family val="2"/>
        <scheme val="minor"/>
      </rPr>
      <t>)</t>
    </r>
    <r>
      <rPr>
        <vertAlign val="superscript"/>
        <sz val="14"/>
        <color theme="1"/>
        <rFont val="Aptos Narrow (Body)"/>
      </rPr>
      <t>T</t>
    </r>
  </si>
  <si>
    <r>
      <t>V</t>
    </r>
    <r>
      <rPr>
        <vertAlign val="superscript"/>
        <sz val="12"/>
        <color theme="1"/>
        <rFont val="Aptos Narrow (Body)"/>
      </rPr>
      <t>C</t>
    </r>
  </si>
  <si>
    <r>
      <t>W</t>
    </r>
    <r>
      <rPr>
        <vertAlign val="superscript"/>
        <sz val="14"/>
        <color theme="1"/>
        <rFont val="Aptos Narrow (Body)"/>
      </rPr>
      <t>UV</t>
    </r>
  </si>
  <si>
    <r>
      <t>V</t>
    </r>
    <r>
      <rPr>
        <vertAlign val="superscript"/>
        <sz val="14"/>
        <color theme="1"/>
        <rFont val="Aptos Narrow (Body)"/>
      </rPr>
      <t>C</t>
    </r>
    <r>
      <rPr>
        <sz val="14"/>
        <color theme="1"/>
        <rFont val="Aptos Narrow"/>
        <family val="2"/>
        <scheme val="minor"/>
      </rPr>
      <t xml:space="preserve"> = W</t>
    </r>
    <r>
      <rPr>
        <vertAlign val="superscript"/>
        <sz val="14"/>
        <color theme="1"/>
        <rFont val="Aptos Narrow (Body)"/>
      </rPr>
      <t>UV</t>
    </r>
    <r>
      <rPr>
        <sz val="14"/>
        <color theme="1"/>
        <rFont val="Aptos Narrow"/>
        <family val="2"/>
        <scheme val="minor"/>
      </rPr>
      <t xml:space="preserve"> ⋅ C</t>
    </r>
    <r>
      <rPr>
        <vertAlign val="superscript"/>
        <sz val="14"/>
        <color theme="1"/>
        <rFont val="Aptos Narrow (Body)"/>
      </rPr>
      <t>KV</t>
    </r>
  </si>
  <si>
    <t>Value (Compressed)</t>
  </si>
  <si>
    <r>
      <t>Q</t>
    </r>
    <r>
      <rPr>
        <vertAlign val="superscript"/>
        <sz val="14"/>
        <color theme="1"/>
        <rFont val="Aptos Narrow (Body)"/>
      </rPr>
      <t>C</t>
    </r>
  </si>
  <si>
    <r>
      <t>W</t>
    </r>
    <r>
      <rPr>
        <vertAlign val="superscript"/>
        <sz val="14"/>
        <color theme="1"/>
        <rFont val="Aptos Narrow (Body)"/>
      </rPr>
      <t>UQ</t>
    </r>
  </si>
  <si>
    <r>
      <t>Q</t>
    </r>
    <r>
      <rPr>
        <vertAlign val="superscript"/>
        <sz val="14"/>
        <color theme="1"/>
        <rFont val="Aptos Narrow (Body)"/>
      </rPr>
      <t>C</t>
    </r>
    <r>
      <rPr>
        <sz val="14"/>
        <color theme="1"/>
        <rFont val="Aptos Narrow"/>
        <family val="2"/>
        <scheme val="minor"/>
      </rPr>
      <t xml:space="preserve"> = W</t>
    </r>
    <r>
      <rPr>
        <vertAlign val="superscript"/>
        <sz val="14"/>
        <color theme="1"/>
        <rFont val="Aptos Narrow (Body)"/>
      </rPr>
      <t>UQ</t>
    </r>
    <r>
      <rPr>
        <sz val="14"/>
        <color theme="1"/>
        <rFont val="Aptos Narrow"/>
        <family val="2"/>
        <scheme val="minor"/>
      </rPr>
      <t xml:space="preserve"> ⋅ C</t>
    </r>
    <r>
      <rPr>
        <vertAlign val="superscript"/>
        <sz val="14"/>
        <color theme="1"/>
        <rFont val="Aptos Narrow (Body)"/>
      </rPr>
      <t>Q</t>
    </r>
  </si>
  <si>
    <r>
      <t>Q</t>
    </r>
    <r>
      <rPr>
        <vertAlign val="superscript"/>
        <sz val="14"/>
        <color theme="1"/>
        <rFont val="Aptos Narrow (Body)"/>
      </rPr>
      <t>R</t>
    </r>
  </si>
  <si>
    <r>
      <t>W</t>
    </r>
    <r>
      <rPr>
        <vertAlign val="superscript"/>
        <sz val="14"/>
        <color theme="1"/>
        <rFont val="Aptos Narrow (Body)"/>
      </rPr>
      <t>QR</t>
    </r>
  </si>
  <si>
    <r>
      <t>Q = W</t>
    </r>
    <r>
      <rPr>
        <vertAlign val="superscript"/>
        <sz val="14"/>
        <color theme="1"/>
        <rFont val="Aptos Narrow (Body)"/>
      </rPr>
      <t>QR</t>
    </r>
    <r>
      <rPr>
        <sz val="14"/>
        <color theme="1"/>
        <rFont val="Aptos Narrow"/>
        <family val="2"/>
        <scheme val="minor"/>
      </rPr>
      <t xml:space="preserve"> ⋅ C</t>
    </r>
    <r>
      <rPr>
        <vertAlign val="superscript"/>
        <sz val="14"/>
        <color theme="1"/>
        <rFont val="Aptos Narrow (Body)"/>
      </rPr>
      <t>Q</t>
    </r>
  </si>
  <si>
    <t>Q</t>
  </si>
  <si>
    <r>
      <t>Q</t>
    </r>
    <r>
      <rPr>
        <vertAlign val="superscript"/>
        <sz val="14"/>
        <color theme="1"/>
        <rFont val="Aptos Narrow (Body)"/>
      </rPr>
      <t>R</t>
    </r>
    <r>
      <rPr>
        <sz val="14"/>
        <color theme="1"/>
        <rFont val="Aptos Narrow"/>
        <family val="2"/>
        <scheme val="minor"/>
      </rPr>
      <t xml:space="preserve"> = RoPE(Q)</t>
    </r>
  </si>
  <si>
    <r>
      <t>(K</t>
    </r>
    <r>
      <rPr>
        <vertAlign val="superscript"/>
        <sz val="12"/>
        <color theme="1"/>
        <rFont val="Aptos Narrow (Body)"/>
      </rPr>
      <t>C</t>
    </r>
    <r>
      <rPr>
        <sz val="12"/>
        <color theme="1"/>
        <rFont val="Aptos Narrow (Body)"/>
      </rPr>
      <t>)</t>
    </r>
    <r>
      <rPr>
        <vertAlign val="superscript"/>
        <sz val="12"/>
        <color theme="1"/>
        <rFont val="Aptos Narrow (Body)"/>
      </rPr>
      <t>T</t>
    </r>
  </si>
  <si>
    <r>
      <t>(K</t>
    </r>
    <r>
      <rPr>
        <vertAlign val="superscript"/>
        <sz val="12"/>
        <color theme="1"/>
        <rFont val="Aptos Narrow (Body)"/>
      </rPr>
      <t>R</t>
    </r>
    <r>
      <rPr>
        <sz val="12"/>
        <color theme="1"/>
        <rFont val="Aptos Narrow"/>
        <family val="2"/>
        <scheme val="minor"/>
      </rPr>
      <t>)</t>
    </r>
    <r>
      <rPr>
        <vertAlign val="superscript"/>
        <sz val="12"/>
        <color theme="1"/>
        <rFont val="Aptos Narrow (Body)"/>
      </rPr>
      <t>T</t>
    </r>
  </si>
  <si>
    <r>
      <t>S = K</t>
    </r>
    <r>
      <rPr>
        <vertAlign val="superscript"/>
        <sz val="12"/>
        <color theme="1"/>
        <rFont val="Aptos Narrow (Body)"/>
      </rPr>
      <t>T</t>
    </r>
    <r>
      <rPr>
        <sz val="12"/>
        <color theme="1"/>
        <rFont val="Aptos Narrow"/>
        <family val="2"/>
        <scheme val="minor"/>
      </rPr>
      <t xml:space="preserve"> Q / sqrt(d</t>
    </r>
    <r>
      <rPr>
        <vertAlign val="subscript"/>
        <sz val="12"/>
        <color theme="1"/>
        <rFont val="Aptos Narrow (Body)"/>
      </rPr>
      <t>k</t>
    </r>
    <r>
      <rPr>
        <sz val="12"/>
        <color theme="1"/>
        <rFont val="Aptos Narrow"/>
        <family val="2"/>
        <scheme val="minor"/>
      </rPr>
      <t>) + Mask</t>
    </r>
  </si>
  <si>
    <t>A = Softmax(S)</t>
  </si>
  <si>
    <t>Z = V ⋅ A</t>
  </si>
  <si>
    <t>Head</t>
  </si>
  <si>
    <r>
      <t>Z</t>
    </r>
    <r>
      <rPr>
        <vertAlign val="subscript"/>
        <sz val="14"/>
        <color theme="1"/>
        <rFont val="Aptos Narrow (Body)"/>
      </rPr>
      <t>all</t>
    </r>
  </si>
  <si>
    <r>
      <t>W</t>
    </r>
    <r>
      <rPr>
        <vertAlign val="subscript"/>
        <sz val="14"/>
        <color theme="1"/>
        <rFont val="Aptos Narrow (Body)"/>
      </rPr>
      <t>out</t>
    </r>
  </si>
  <si>
    <r>
      <t>Y = W</t>
    </r>
    <r>
      <rPr>
        <vertAlign val="subscript"/>
        <sz val="14"/>
        <color theme="1"/>
        <rFont val="Aptos Narrow (Body)"/>
      </rPr>
      <t xml:space="preserve">out </t>
    </r>
    <r>
      <rPr>
        <sz val="14"/>
        <color theme="1"/>
        <rFont val="Aptos Narrow (Body)"/>
      </rPr>
      <t>⋅</t>
    </r>
    <r>
      <rPr>
        <vertAlign val="subscript"/>
        <sz val="14"/>
        <color theme="1"/>
        <rFont val="Aptos Narrow (Body)"/>
      </rPr>
      <t xml:space="preserve">  </t>
    </r>
    <r>
      <rPr>
        <sz val="14"/>
        <color theme="1"/>
        <rFont val="Aptos Narrow"/>
        <family val="2"/>
        <scheme val="minor"/>
      </rPr>
      <t>Z</t>
    </r>
    <r>
      <rPr>
        <vertAlign val="subscript"/>
        <sz val="14"/>
        <color theme="1"/>
        <rFont val="Aptos Narrow (Body)"/>
      </rPr>
      <t>all</t>
    </r>
  </si>
  <si>
    <t xml:space="preserve"> </t>
  </si>
  <si>
    <t>License &amp; Usage Terms</t>
  </si>
  <si>
    <t>© 2026 Tom Yeh. All rights reserved.</t>
  </si>
  <si>
    <t>This spreadsheet is part of the AI by Hand Academy Membership and is licensed, not sold, to authorized subscribers for personal or internal use only.</t>
  </si>
  <si>
    <t>Permitted Use</t>
  </si>
  <si>
    <t>Authorized users may study, reproduce, and adapt the formulas, logic, or structural ideas contained in this spreadsheet for learning, research, experimentation, and internal development.</t>
  </si>
  <si>
    <t>Authorized users may implement those ideas within their own internal systems or codebases (e.g., PyTorch, JAX, TensorFlow, or other frameworks).</t>
  </si>
  <si>
    <t>Prohibited Use</t>
  </si>
  <si>
    <t>You may not copy, share, publish, redistribute, sublicense, sell, or make this spreadsheet (or substantially similar derivatives) available to any third party.</t>
  </si>
  <si>
    <t>You may not publicly post the spreadsheet or its contents, in whole or in part, in any form.</t>
  </si>
  <si>
    <t>You may not use this material or derivative works as part of any commercial product, service, consulting deliverable, paid course, or toolkit without obtaining separate written permission or a commercial-use license from Tom Yeh.</t>
  </si>
  <si>
    <t>Attribution</t>
  </si>
  <si>
    <t>Any public-facing derivative work (including publications, presentations, blog posts, documentation, or open-source releases) based on these materials must include clear attribution to: Prof. Tom Yeh, AI by Hand.</t>
  </si>
  <si>
    <t>Ownership</t>
  </si>
  <si>
    <t>All rights, title, and interest in the original materials remain with Tom Yeh. This license does not grant ownership or transfer of intellectual property.</t>
  </si>
  <si>
    <t>Acceptance</t>
  </si>
  <si>
    <t>Use of this material signifies your acceptance of these License &amp; Usage Terms. Violation of these terms may result in termination of access without refund.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</si>
</sst>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vertAlign val="superscript"/>
      <sz val="12"/>
      <color theme="1"/>
      <name val="Aptos Narrow (Body)"/>
    </font>
    <font>
      <vertAlign val="subscript"/>
      <sz val="12"/>
      <color theme="1"/>
      <name val="Aptos Narrow (Body)"/>
    </font>
    <font>
      <b/>
      <sz val="12"/>
      <color theme="1"/>
      <name val="Aptos Narrow"/>
      <family val="2"/>
      <scheme val="minor"/>
    </font>
    <font>
      <sz val="12"/>
      <color theme="1"/>
      <name val="Aptos Narrow (Body)"/>
    </font>
    <font>
      <sz val="14"/>
      <color theme="1"/>
      <name val="Aptos Narrow"/>
      <family val="2"/>
      <scheme val="minor"/>
    </font>
    <font>
      <sz val="12"/>
      <color theme="4"/>
      <name val="Aptos Narrow"/>
      <family val="2"/>
      <scheme val="minor"/>
    </font>
    <font>
      <vertAlign val="superscript"/>
      <sz val="12"/>
      <color theme="4"/>
      <name val="Aptos Narrow (Body)"/>
    </font>
    <font>
      <sz val="32"/>
      <color rgb="FF000000"/>
      <name val="Aptos Narrow"/>
      <scheme val="minor"/>
    </font>
    <font>
      <b/>
      <sz val="20"/>
      <color theme="1"/>
      <name val="Aptos Narrow"/>
      <scheme val="minor"/>
    </font>
    <font>
      <sz val="16"/>
      <color theme="1"/>
      <name val="Aptos Narrow"/>
      <family val="2"/>
      <scheme val="minor"/>
    </font>
    <font>
      <vertAlign val="superscript"/>
      <sz val="14"/>
      <color theme="1"/>
      <name val="Aptos Narrow (Body)"/>
    </font>
    <font>
      <sz val="14"/>
      <color theme="8" tint="-0.249977111117893"/>
      <name val="Aptos Narrow"/>
      <family val="2"/>
      <scheme val="minor"/>
    </font>
    <font>
      <vertAlign val="superscript"/>
      <sz val="14"/>
      <color theme="8" tint="-0.249977111117893"/>
      <name val="Aptos Narrow (Body)"/>
    </font>
    <font>
      <sz val="14"/>
      <color theme="4"/>
      <name val="Aptos Narrow"/>
      <family val="2"/>
      <scheme val="minor"/>
    </font>
    <font>
      <vertAlign val="superscript"/>
      <sz val="14"/>
      <color theme="4"/>
      <name val="Aptos Narrow (Body)"/>
    </font>
    <font>
      <sz val="14"/>
      <color theme="1"/>
      <name val="Aptos Narrow (Body)"/>
    </font>
    <font>
      <vertAlign val="subscript"/>
      <sz val="14"/>
      <color theme="1"/>
      <name val="Aptos Narrow (Body)"/>
    </font>
    <font>
      <sz val="12"/>
      <color rgb="FF000000"/>
      <name val="Aptos Narrow"/>
      <scheme val="minor"/>
    </font>
    <font>
      <i/>
      <sz val="13.5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0" fillId="0" borderId="0" xfId="0" quotePrefix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right"/>
    </xf>
    <xf numFmtId="0" fontId="10" fillId="0" borderId="0" xfId="0" applyFont="1"/>
    <xf numFmtId="0" fontId="0" fillId="0" borderId="5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14" fillId="0" borderId="0" xfId="0" applyFont="1"/>
    <xf numFmtId="0" fontId="5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4" borderId="0" xfId="0" applyFont="1" applyFill="1"/>
    <xf numFmtId="0" fontId="5" fillId="0" borderId="11" xfId="0" applyFont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1">
    <cellStyle name="Normal" xfId="0" builtinId="0"/>
  </cellStyles>
  <dxfs count="9"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193728</xdr:colOff>
      <xdr:row>83</xdr:row>
      <xdr:rowOff>209341</xdr:rowOff>
    </xdr:from>
    <xdr:to>
      <xdr:col>102</xdr:col>
      <xdr:colOff>69272</xdr:colOff>
      <xdr:row>112</xdr:row>
      <xdr:rowOff>73839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5675543-5B62-9A4B-BE24-0DFB1C90085B}"/>
            </a:ext>
          </a:extLst>
        </xdr:cNvPr>
        <xdr:cNvSpPr/>
      </xdr:nvSpPr>
      <xdr:spPr>
        <a:xfrm>
          <a:off x="9792565" y="27189457"/>
          <a:ext cx="28037056" cy="885787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Head 1</a:t>
          </a:r>
        </a:p>
      </xdr:txBody>
    </xdr:sp>
    <xdr:clientData/>
  </xdr:twoCellAnchor>
  <xdr:twoCellAnchor>
    <xdr:from>
      <xdr:col>29</xdr:col>
      <xdr:colOff>212775</xdr:colOff>
      <xdr:row>173</xdr:row>
      <xdr:rowOff>241862</xdr:rowOff>
    </xdr:from>
    <xdr:to>
      <xdr:col>40</xdr:col>
      <xdr:colOff>230796</xdr:colOff>
      <xdr:row>187</xdr:row>
      <xdr:rowOff>129472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E75069-E92A-884F-BC73-B2855152B55B}"/>
            </a:ext>
          </a:extLst>
        </xdr:cNvPr>
        <xdr:cNvSpPr/>
      </xdr:nvSpPr>
      <xdr:spPr>
        <a:xfrm>
          <a:off x="10818272" y="53156312"/>
          <a:ext cx="4040796" cy="416970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Concat</a:t>
          </a:r>
        </a:p>
      </xdr:txBody>
    </xdr:sp>
    <xdr:clientData/>
  </xdr:twoCellAnchor>
  <xdr:twoCellAnchor>
    <xdr:from>
      <xdr:col>68</xdr:col>
      <xdr:colOff>5348</xdr:colOff>
      <xdr:row>24</xdr:row>
      <xdr:rowOff>166556</xdr:rowOff>
    </xdr:from>
    <xdr:to>
      <xdr:col>75</xdr:col>
      <xdr:colOff>114300</xdr:colOff>
      <xdr:row>32</xdr:row>
      <xdr:rowOff>215900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1C62173-A700-D648-B778-26EB63319FEC}"/>
            </a:ext>
          </a:extLst>
        </xdr:cNvPr>
        <xdr:cNvSpPr/>
      </xdr:nvSpPr>
      <xdr:spPr>
        <a:xfrm>
          <a:off x="25488627" y="7661638"/>
          <a:ext cx="2732230" cy="2547705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US" sz="2400">
              <a:solidFill>
                <a:schemeClr val="accent1"/>
              </a:solidFill>
            </a:rPr>
            <a:t>cache</a:t>
          </a:r>
        </a:p>
      </xdr:txBody>
    </xdr:sp>
    <xdr:clientData/>
  </xdr:twoCellAnchor>
  <xdr:twoCellAnchor>
    <xdr:from>
      <xdr:col>23</xdr:col>
      <xdr:colOff>48846</xdr:colOff>
      <xdr:row>39</xdr:row>
      <xdr:rowOff>185206</xdr:rowOff>
    </xdr:from>
    <xdr:to>
      <xdr:col>103</xdr:col>
      <xdr:colOff>244231</xdr:colOff>
      <xdr:row>63</xdr:row>
      <xdr:rowOff>158751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607C0D2-5DB8-8543-9A53-C3CA4A9AF1B2}"/>
            </a:ext>
          </a:extLst>
        </xdr:cNvPr>
        <xdr:cNvSpPr/>
      </xdr:nvSpPr>
      <xdr:spPr>
        <a:xfrm>
          <a:off x="9036538" y="12787514"/>
          <a:ext cx="31554616" cy="7007391"/>
        </a:xfrm>
        <a:prstGeom prst="rect">
          <a:avLst/>
        </a:prstGeom>
        <a:noFill/>
        <a:ln w="38100"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200" b="1"/>
            <a:t>Lightening Indexer</a:t>
          </a:r>
        </a:p>
      </xdr:txBody>
    </xdr:sp>
    <xdr:clientData/>
  </xdr:twoCellAnchor>
  <xdr:twoCellAnchor>
    <xdr:from>
      <xdr:col>23</xdr:col>
      <xdr:colOff>48846</xdr:colOff>
      <xdr:row>64</xdr:row>
      <xdr:rowOff>270213</xdr:rowOff>
    </xdr:from>
    <xdr:to>
      <xdr:col>103</xdr:col>
      <xdr:colOff>269394</xdr:colOff>
      <xdr:row>171</xdr:row>
      <xdr:rowOff>226786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988244B-DBB0-0140-B3F3-5F7B82B72FB1}"/>
            </a:ext>
          </a:extLst>
        </xdr:cNvPr>
        <xdr:cNvSpPr/>
      </xdr:nvSpPr>
      <xdr:spPr>
        <a:xfrm>
          <a:off x="8394560" y="20590213"/>
          <a:ext cx="29339834" cy="33929073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200" b="1"/>
            <a:t>Multi-Query</a:t>
          </a:r>
          <a:r>
            <a:rPr lang="en-US" sz="3200" b="1" baseline="0"/>
            <a:t> Attention</a:t>
          </a:r>
          <a:endParaRPr lang="en-US" sz="3200" b="1"/>
        </a:p>
      </xdr:txBody>
    </xdr:sp>
    <xdr:clientData/>
  </xdr:twoCellAnchor>
  <xdr:twoCellAnchor>
    <xdr:from>
      <xdr:col>60</xdr:col>
      <xdr:colOff>308515</xdr:colOff>
      <xdr:row>34</xdr:row>
      <xdr:rowOff>75230</xdr:rowOff>
    </xdr:from>
    <xdr:to>
      <xdr:col>62</xdr:col>
      <xdr:colOff>42100</xdr:colOff>
      <xdr:row>35</xdr:row>
      <xdr:rowOff>210497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F49AD082-3603-E547-9300-51187E241C7F}"/>
            </a:ext>
          </a:extLst>
        </xdr:cNvPr>
        <xdr:cNvSpPr/>
      </xdr:nvSpPr>
      <xdr:spPr>
        <a:xfrm>
          <a:off x="22200228" y="10333462"/>
          <a:ext cx="463308" cy="436980"/>
        </a:xfrm>
        <a:prstGeom prst="ellipse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400"/>
            <a:t>⊕</a:t>
          </a:r>
        </a:p>
      </xdr:txBody>
    </xdr:sp>
    <xdr:clientData/>
  </xdr:twoCellAnchor>
  <xdr:twoCellAnchor>
    <xdr:from>
      <xdr:col>60</xdr:col>
      <xdr:colOff>313567</xdr:colOff>
      <xdr:row>28</xdr:row>
      <xdr:rowOff>94315</xdr:rowOff>
    </xdr:from>
    <xdr:to>
      <xdr:col>62</xdr:col>
      <xdr:colOff>47152</xdr:colOff>
      <xdr:row>29</xdr:row>
      <xdr:rowOff>229582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DB3BA2C-EF21-714C-AE7A-E66CFCDE72DF}"/>
            </a:ext>
          </a:extLst>
        </xdr:cNvPr>
        <xdr:cNvSpPr/>
      </xdr:nvSpPr>
      <xdr:spPr>
        <a:xfrm>
          <a:off x="22205280" y="8542271"/>
          <a:ext cx="463308" cy="436980"/>
        </a:xfrm>
        <a:prstGeom prst="ellipse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400"/>
            <a:t>⊕</a:t>
          </a:r>
        </a:p>
      </xdr:txBody>
    </xdr:sp>
    <xdr:clientData/>
  </xdr:twoCellAnchor>
  <xdr:twoCellAnchor>
    <xdr:from>
      <xdr:col>60</xdr:col>
      <xdr:colOff>308515</xdr:colOff>
      <xdr:row>106</xdr:row>
      <xdr:rowOff>75230</xdr:rowOff>
    </xdr:from>
    <xdr:to>
      <xdr:col>62</xdr:col>
      <xdr:colOff>42100</xdr:colOff>
      <xdr:row>107</xdr:row>
      <xdr:rowOff>210497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53D52539-CBB5-EA41-82D6-565FE80CCC5D}"/>
            </a:ext>
          </a:extLst>
        </xdr:cNvPr>
        <xdr:cNvSpPr/>
      </xdr:nvSpPr>
      <xdr:spPr>
        <a:xfrm>
          <a:off x="22079944" y="10649924"/>
          <a:ext cx="459299" cy="446287"/>
        </a:xfrm>
        <a:prstGeom prst="ellipse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400"/>
            <a:t>⊕</a:t>
          </a:r>
        </a:p>
      </xdr:txBody>
    </xdr:sp>
    <xdr:clientData/>
  </xdr:twoCellAnchor>
  <xdr:twoCellAnchor>
    <xdr:from>
      <xdr:col>60</xdr:col>
      <xdr:colOff>313567</xdr:colOff>
      <xdr:row>100</xdr:row>
      <xdr:rowOff>94315</xdr:rowOff>
    </xdr:from>
    <xdr:to>
      <xdr:col>62</xdr:col>
      <xdr:colOff>47152</xdr:colOff>
      <xdr:row>101</xdr:row>
      <xdr:rowOff>229582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798804D-CC79-FE4F-91DC-BA58C598EDAC}"/>
            </a:ext>
          </a:extLst>
        </xdr:cNvPr>
        <xdr:cNvSpPr/>
      </xdr:nvSpPr>
      <xdr:spPr>
        <a:xfrm>
          <a:off x="22084996" y="8802886"/>
          <a:ext cx="459299" cy="446288"/>
        </a:xfrm>
        <a:prstGeom prst="ellipse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400"/>
            <a:t>⊕</a:t>
          </a:r>
        </a:p>
      </xdr:txBody>
    </xdr:sp>
    <xdr:clientData/>
  </xdr:twoCellAnchor>
  <xdr:twoCellAnchor>
    <xdr:from>
      <xdr:col>34</xdr:col>
      <xdr:colOff>132907</xdr:colOff>
      <xdr:row>95</xdr:row>
      <xdr:rowOff>221511</xdr:rowOff>
    </xdr:from>
    <xdr:to>
      <xdr:col>74</xdr:col>
      <xdr:colOff>265814</xdr:colOff>
      <xdr:row>110</xdr:row>
      <xdr:rowOff>295350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6CEB1981-03DE-3CC3-A56C-97DC476FF6D5}"/>
            </a:ext>
          </a:extLst>
        </xdr:cNvPr>
        <xdr:cNvSpPr/>
      </xdr:nvSpPr>
      <xdr:spPr>
        <a:xfrm>
          <a:off x="12685233" y="30923023"/>
          <a:ext cx="14900348" cy="4725583"/>
        </a:xfrm>
        <a:prstGeom prst="roundRect">
          <a:avLst>
            <a:gd name="adj" fmla="val 7302"/>
          </a:avLst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200"/>
            <a:t>RoPE</a:t>
          </a:r>
        </a:p>
      </xdr:txBody>
    </xdr:sp>
    <xdr:clientData/>
  </xdr:twoCellAnchor>
  <xdr:twoCellAnchor>
    <xdr:from>
      <xdr:col>34</xdr:col>
      <xdr:colOff>191976</xdr:colOff>
      <xdr:row>23</xdr:row>
      <xdr:rowOff>0</xdr:rowOff>
    </xdr:from>
    <xdr:to>
      <xdr:col>76</xdr:col>
      <xdr:colOff>0</xdr:colOff>
      <xdr:row>38</xdr:row>
      <xdr:rowOff>14768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CBA54C2A-F457-374B-88BF-A15AC30664FB}"/>
            </a:ext>
          </a:extLst>
        </xdr:cNvPr>
        <xdr:cNvSpPr/>
      </xdr:nvSpPr>
      <xdr:spPr>
        <a:xfrm>
          <a:off x="12370950" y="6740769"/>
          <a:ext cx="14852640" cy="4410922"/>
        </a:xfrm>
        <a:prstGeom prst="roundRect">
          <a:avLst>
            <a:gd name="adj" fmla="val 7302"/>
          </a:avLst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200"/>
            <a:t>RoPE</a:t>
          </a:r>
        </a:p>
      </xdr:txBody>
    </xdr:sp>
    <xdr:clientData/>
  </xdr:twoCellAnchor>
  <xdr:twoCellAnchor>
    <xdr:from>
      <xdr:col>26</xdr:col>
      <xdr:colOff>193728</xdr:colOff>
      <xdr:row>112</xdr:row>
      <xdr:rowOff>209341</xdr:rowOff>
    </xdr:from>
    <xdr:to>
      <xdr:col>102</xdr:col>
      <xdr:colOff>69272</xdr:colOff>
      <xdr:row>141</xdr:row>
      <xdr:rowOff>73839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DC538FD-41F0-C64C-8244-4DD4EEC964B0}"/>
            </a:ext>
          </a:extLst>
        </xdr:cNvPr>
        <xdr:cNvSpPr/>
      </xdr:nvSpPr>
      <xdr:spPr>
        <a:xfrm>
          <a:off x="9824561" y="25097813"/>
          <a:ext cx="28133044" cy="856047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Head 2</a:t>
          </a:r>
        </a:p>
      </xdr:txBody>
    </xdr:sp>
    <xdr:clientData/>
  </xdr:twoCellAnchor>
  <xdr:twoCellAnchor>
    <xdr:from>
      <xdr:col>60</xdr:col>
      <xdr:colOff>308515</xdr:colOff>
      <xdr:row>135</xdr:row>
      <xdr:rowOff>75230</xdr:rowOff>
    </xdr:from>
    <xdr:to>
      <xdr:col>62</xdr:col>
      <xdr:colOff>42100</xdr:colOff>
      <xdr:row>136</xdr:row>
      <xdr:rowOff>210497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8C5824B-D494-3041-AB37-B452C2AA5BC1}"/>
            </a:ext>
          </a:extLst>
        </xdr:cNvPr>
        <xdr:cNvSpPr/>
      </xdr:nvSpPr>
      <xdr:spPr>
        <a:xfrm>
          <a:off x="22533515" y="31860508"/>
          <a:ext cx="474418" cy="435128"/>
        </a:xfrm>
        <a:prstGeom prst="ellipse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400"/>
            <a:t>⊕</a:t>
          </a:r>
        </a:p>
      </xdr:txBody>
    </xdr:sp>
    <xdr:clientData/>
  </xdr:twoCellAnchor>
  <xdr:twoCellAnchor>
    <xdr:from>
      <xdr:col>60</xdr:col>
      <xdr:colOff>313567</xdr:colOff>
      <xdr:row>129</xdr:row>
      <xdr:rowOff>94315</xdr:rowOff>
    </xdr:from>
    <xdr:to>
      <xdr:col>62</xdr:col>
      <xdr:colOff>47152</xdr:colOff>
      <xdr:row>130</xdr:row>
      <xdr:rowOff>229582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F82175DD-2182-BD41-B48C-BCF9A3B18CFD}"/>
            </a:ext>
          </a:extLst>
        </xdr:cNvPr>
        <xdr:cNvSpPr/>
      </xdr:nvSpPr>
      <xdr:spPr>
        <a:xfrm>
          <a:off x="22538567" y="30080426"/>
          <a:ext cx="474418" cy="435128"/>
        </a:xfrm>
        <a:prstGeom prst="ellipse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400"/>
            <a:t>⊕</a:t>
          </a:r>
        </a:p>
      </xdr:txBody>
    </xdr:sp>
    <xdr:clientData/>
  </xdr:twoCellAnchor>
  <xdr:twoCellAnchor>
    <xdr:from>
      <xdr:col>34</xdr:col>
      <xdr:colOff>132907</xdr:colOff>
      <xdr:row>124</xdr:row>
      <xdr:rowOff>221511</xdr:rowOff>
    </xdr:from>
    <xdr:to>
      <xdr:col>74</xdr:col>
      <xdr:colOff>265814</xdr:colOff>
      <xdr:row>139</xdr:row>
      <xdr:rowOff>295350</xdr:rowOff>
    </xdr:to>
    <xdr:sp macro="" textlink="">
      <xdr:nvSpPr>
        <xdr:cNvPr id="45" name="Rounded Rectangle 44">
          <a:extLst>
            <a:ext uri="{FF2B5EF4-FFF2-40B4-BE49-F238E27FC236}">
              <a16:creationId xmlns:a16="http://schemas.microsoft.com/office/drawing/2014/main" id="{C91BDB93-EFBE-054A-A237-514C1FF0872D}"/>
            </a:ext>
          </a:extLst>
        </xdr:cNvPr>
        <xdr:cNvSpPr/>
      </xdr:nvSpPr>
      <xdr:spPr>
        <a:xfrm>
          <a:off x="12727074" y="28708317"/>
          <a:ext cx="14949573" cy="4571755"/>
        </a:xfrm>
        <a:prstGeom prst="roundRect">
          <a:avLst>
            <a:gd name="adj" fmla="val 7302"/>
          </a:avLst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200"/>
            <a:t>RoPE</a:t>
          </a:r>
        </a:p>
      </xdr:txBody>
    </xdr:sp>
    <xdr:clientData/>
  </xdr:twoCellAnchor>
  <xdr:twoCellAnchor>
    <xdr:from>
      <xdr:col>34</xdr:col>
      <xdr:colOff>195384</xdr:colOff>
      <xdr:row>17</xdr:row>
      <xdr:rowOff>130256</xdr:rowOff>
    </xdr:from>
    <xdr:to>
      <xdr:col>41</xdr:col>
      <xdr:colOff>304336</xdr:colOff>
      <xdr:row>22</xdr:row>
      <xdr:rowOff>162821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44C97EC-3AF4-DC43-9566-3A0A5A4612CF}"/>
            </a:ext>
          </a:extLst>
        </xdr:cNvPr>
        <xdr:cNvSpPr/>
      </xdr:nvSpPr>
      <xdr:spPr>
        <a:xfrm>
          <a:off x="12374358" y="5112564"/>
          <a:ext cx="2616388" cy="1497949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US" sz="2400">
              <a:solidFill>
                <a:schemeClr val="accent1"/>
              </a:solidFill>
            </a:rPr>
            <a:t>cache</a:t>
          </a:r>
        </a:p>
      </xdr:txBody>
    </xdr:sp>
    <xdr:clientData/>
  </xdr:twoCellAnchor>
  <xdr:twoCellAnchor>
    <xdr:from>
      <xdr:col>26</xdr:col>
      <xdr:colOff>193728</xdr:colOff>
      <xdr:row>141</xdr:row>
      <xdr:rowOff>209341</xdr:rowOff>
    </xdr:from>
    <xdr:to>
      <xdr:col>102</xdr:col>
      <xdr:colOff>69272</xdr:colOff>
      <xdr:row>170</xdr:row>
      <xdr:rowOff>73839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2211A9C-8051-2444-8C18-51489BBF16A4}"/>
            </a:ext>
          </a:extLst>
        </xdr:cNvPr>
        <xdr:cNvSpPr/>
      </xdr:nvSpPr>
      <xdr:spPr>
        <a:xfrm>
          <a:off x="9507061" y="33033956"/>
          <a:ext cx="27196826" cy="8363729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Head 3</a:t>
          </a:r>
        </a:p>
      </xdr:txBody>
    </xdr:sp>
    <xdr:clientData/>
  </xdr:twoCellAnchor>
  <xdr:twoCellAnchor>
    <xdr:from>
      <xdr:col>60</xdr:col>
      <xdr:colOff>308515</xdr:colOff>
      <xdr:row>164</xdr:row>
      <xdr:rowOff>75230</xdr:rowOff>
    </xdr:from>
    <xdr:to>
      <xdr:col>62</xdr:col>
      <xdr:colOff>42100</xdr:colOff>
      <xdr:row>165</xdr:row>
      <xdr:rowOff>210497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9EFF7464-419E-1F41-BFDB-4B2B2B1D1038}"/>
            </a:ext>
          </a:extLst>
        </xdr:cNvPr>
        <xdr:cNvSpPr/>
      </xdr:nvSpPr>
      <xdr:spPr>
        <a:xfrm>
          <a:off x="21800823" y="39640615"/>
          <a:ext cx="449995" cy="428344"/>
        </a:xfrm>
        <a:prstGeom prst="ellipse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400"/>
            <a:t>⊕</a:t>
          </a:r>
        </a:p>
      </xdr:txBody>
    </xdr:sp>
    <xdr:clientData/>
  </xdr:twoCellAnchor>
  <xdr:twoCellAnchor>
    <xdr:from>
      <xdr:col>60</xdr:col>
      <xdr:colOff>313567</xdr:colOff>
      <xdr:row>158</xdr:row>
      <xdr:rowOff>94315</xdr:rowOff>
    </xdr:from>
    <xdr:to>
      <xdr:col>62</xdr:col>
      <xdr:colOff>47152</xdr:colOff>
      <xdr:row>159</xdr:row>
      <xdr:rowOff>229582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C41B6C0-6745-CE47-8530-B5A9D9F428D8}"/>
            </a:ext>
          </a:extLst>
        </xdr:cNvPr>
        <xdr:cNvSpPr/>
      </xdr:nvSpPr>
      <xdr:spPr>
        <a:xfrm>
          <a:off x="21805875" y="37901238"/>
          <a:ext cx="449995" cy="428344"/>
        </a:xfrm>
        <a:prstGeom prst="ellipse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400"/>
            <a:t>⊕</a:t>
          </a:r>
        </a:p>
      </xdr:txBody>
    </xdr:sp>
    <xdr:clientData/>
  </xdr:twoCellAnchor>
  <xdr:twoCellAnchor>
    <xdr:from>
      <xdr:col>34</xdr:col>
      <xdr:colOff>132907</xdr:colOff>
      <xdr:row>153</xdr:row>
      <xdr:rowOff>221511</xdr:rowOff>
    </xdr:from>
    <xdr:to>
      <xdr:col>74</xdr:col>
      <xdr:colOff>265814</xdr:colOff>
      <xdr:row>168</xdr:row>
      <xdr:rowOff>295350</xdr:rowOff>
    </xdr:to>
    <xdr:sp macro="" textlink="">
      <xdr:nvSpPr>
        <xdr:cNvPr id="51" name="Rounded Rectangle 50">
          <a:extLst>
            <a:ext uri="{FF2B5EF4-FFF2-40B4-BE49-F238E27FC236}">
              <a16:creationId xmlns:a16="http://schemas.microsoft.com/office/drawing/2014/main" id="{C1D91D23-FE0E-8144-8E7A-CC2568C5E96A}"/>
            </a:ext>
          </a:extLst>
        </xdr:cNvPr>
        <xdr:cNvSpPr/>
      </xdr:nvSpPr>
      <xdr:spPr>
        <a:xfrm>
          <a:off x="12311881" y="36563049"/>
          <a:ext cx="14461112" cy="4469993"/>
        </a:xfrm>
        <a:prstGeom prst="roundRect">
          <a:avLst>
            <a:gd name="adj" fmla="val 7302"/>
          </a:avLst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200"/>
            <a:t>RoPE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A8F8-B609-DD40-8E8E-6B376073C5CC}">
  <dimension ref="T2:DD202"/>
  <sheetViews>
    <sheetView showGridLines="0" zoomScale="27" zoomScaleNormal="27" workbookViewId="0"/>
  </sheetViews>
  <sheetFormatPr defaultColWidth="4.875" defaultRowHeight="24" customHeight="1"/>
  <cols>
    <col min="36" max="36" width="4.875" customWidth="1"/>
    <col min="45" max="45" width="4.875" customWidth="1"/>
    <col min="89" max="89" width="6.125" bestFit="1" customWidth="1"/>
  </cols>
  <sheetData>
    <row r="2" spans="25:40" ht="24" customHeight="1">
      <c r="AJ2" s="6" t="s">
        <v>0</v>
      </c>
    </row>
    <row r="3" spans="25:40" ht="24" customHeight="1">
      <c r="AJ3" s="26">
        <v>2</v>
      </c>
      <c r="AK3" s="26">
        <v>0</v>
      </c>
      <c r="AL3" s="26">
        <v>1</v>
      </c>
      <c r="AM3" s="26">
        <v>1</v>
      </c>
      <c r="AN3" s="26">
        <v>0</v>
      </c>
    </row>
    <row r="4" spans="25:40" ht="24" customHeight="1">
      <c r="AJ4" s="27">
        <v>0</v>
      </c>
      <c r="AK4" s="27">
        <v>1</v>
      </c>
      <c r="AL4" s="27">
        <v>0</v>
      </c>
      <c r="AM4" s="27">
        <v>0</v>
      </c>
      <c r="AN4" s="27">
        <v>0</v>
      </c>
    </row>
    <row r="5" spans="25:40" ht="24" customHeight="1">
      <c r="AJ5" s="27">
        <v>1</v>
      </c>
      <c r="AK5" s="27">
        <v>0</v>
      </c>
      <c r="AL5" s="27">
        <v>1</v>
      </c>
      <c r="AM5" s="27">
        <v>0</v>
      </c>
      <c r="AN5" s="27">
        <v>0</v>
      </c>
    </row>
    <row r="6" spans="25:40" ht="24" customHeight="1">
      <c r="AJ6" s="27">
        <v>0</v>
      </c>
      <c r="AK6" s="27">
        <v>1</v>
      </c>
      <c r="AL6" s="27">
        <v>0</v>
      </c>
      <c r="AM6" s="27">
        <v>1</v>
      </c>
      <c r="AN6" s="27">
        <v>1</v>
      </c>
    </row>
    <row r="7" spans="25:40" ht="24" customHeight="1">
      <c r="AJ7" s="27">
        <v>1</v>
      </c>
      <c r="AK7" s="27">
        <v>0</v>
      </c>
      <c r="AL7" s="27">
        <v>1</v>
      </c>
      <c r="AM7" s="27">
        <v>-1</v>
      </c>
      <c r="AN7" s="27">
        <v>0</v>
      </c>
    </row>
    <row r="8" spans="25:40" ht="24" customHeight="1">
      <c r="AJ8" s="27">
        <v>-1</v>
      </c>
      <c r="AK8" s="27">
        <v>0</v>
      </c>
      <c r="AL8" s="27">
        <v>1</v>
      </c>
      <c r="AM8" s="27">
        <v>0</v>
      </c>
      <c r="AN8" s="27">
        <v>1</v>
      </c>
    </row>
    <row r="9" spans="25:40" ht="24" customHeight="1">
      <c r="AJ9" s="27">
        <v>0</v>
      </c>
      <c r="AK9" s="27">
        <v>1</v>
      </c>
      <c r="AL9" s="27">
        <v>0</v>
      </c>
      <c r="AM9" s="27">
        <v>0</v>
      </c>
      <c r="AN9" s="27">
        <v>1</v>
      </c>
    </row>
    <row r="10" spans="25:40" ht="24" customHeight="1">
      <c r="AJ10" s="27">
        <v>0</v>
      </c>
      <c r="AK10" s="27">
        <v>0</v>
      </c>
      <c r="AL10" s="27">
        <v>1</v>
      </c>
      <c r="AM10" s="27">
        <v>0</v>
      </c>
      <c r="AN10" s="27">
        <v>2</v>
      </c>
    </row>
    <row r="11" spans="25:40" ht="24" customHeight="1">
      <c r="AJ11" s="27">
        <v>0</v>
      </c>
      <c r="AK11" s="27">
        <v>1</v>
      </c>
      <c r="AL11" s="27">
        <v>0</v>
      </c>
      <c r="AM11" s="27">
        <v>0</v>
      </c>
      <c r="AN11" s="27">
        <v>1</v>
      </c>
    </row>
    <row r="12" spans="25:40" ht="24" customHeight="1">
      <c r="AJ12" s="28">
        <v>1</v>
      </c>
      <c r="AK12" s="28">
        <v>2</v>
      </c>
      <c r="AL12" s="28">
        <v>0</v>
      </c>
      <c r="AM12" s="28">
        <v>1</v>
      </c>
      <c r="AN12" s="28">
        <v>0</v>
      </c>
    </row>
    <row r="13" spans="25:40" ht="24" customHeight="1">
      <c r="Y13" t="s">
        <v>1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</row>
    <row r="14" spans="25:40" ht="24" customHeight="1">
      <c r="Y14" t="s">
        <v>3</v>
      </c>
      <c r="AJ14" t="s">
        <v>4</v>
      </c>
    </row>
    <row r="15" spans="25:40" ht="24" customHeight="1">
      <c r="Y15" s="38">
        <v>1</v>
      </c>
      <c r="Z15" s="38">
        <v>0</v>
      </c>
      <c r="AA15" s="38">
        <v>1</v>
      </c>
      <c r="AB15" s="38">
        <v>0</v>
      </c>
      <c r="AC15" s="38">
        <v>1</v>
      </c>
      <c r="AD15" s="38">
        <v>0</v>
      </c>
      <c r="AE15" s="38">
        <v>1</v>
      </c>
      <c r="AF15" s="38">
        <v>0</v>
      </c>
      <c r="AG15" s="38">
        <v>1</v>
      </c>
      <c r="AH15" s="38">
        <v>0</v>
      </c>
      <c r="AI15" s="1" t="s">
        <v>5</v>
      </c>
      <c r="AJ15" s="19" cm="1">
        <f t="array" ref="AJ15:AN17">MMULT(Y15:AH17,AJ3:AN12)</f>
        <v>4</v>
      </c>
      <c r="AK15" s="19">
        <v>2</v>
      </c>
      <c r="AL15" s="19">
        <v>3</v>
      </c>
      <c r="AM15" s="19">
        <v>0</v>
      </c>
      <c r="AN15" s="19">
        <v>2</v>
      </c>
    </row>
    <row r="16" spans="25:40" ht="24" customHeight="1">
      <c r="Y16" s="38">
        <v>1</v>
      </c>
      <c r="Z16" s="38">
        <v>0</v>
      </c>
      <c r="AA16" s="38">
        <v>0</v>
      </c>
      <c r="AB16" s="38">
        <v>0</v>
      </c>
      <c r="AC16" s="38">
        <v>1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1" t="s">
        <v>5</v>
      </c>
      <c r="AJ16" s="20">
        <v>3</v>
      </c>
      <c r="AK16" s="20">
        <v>0</v>
      </c>
      <c r="AL16" s="20">
        <v>2</v>
      </c>
      <c r="AM16" s="20">
        <v>0</v>
      </c>
      <c r="AN16" s="20">
        <v>0</v>
      </c>
    </row>
    <row r="17" spans="25:78" ht="24" customHeight="1">
      <c r="Y17" s="38">
        <v>0</v>
      </c>
      <c r="Z17" s="38">
        <v>0</v>
      </c>
      <c r="AA17" s="38">
        <v>0</v>
      </c>
      <c r="AB17" s="38">
        <v>1</v>
      </c>
      <c r="AC17" s="38">
        <v>0</v>
      </c>
      <c r="AD17" s="38">
        <v>0</v>
      </c>
      <c r="AE17" s="38">
        <v>0</v>
      </c>
      <c r="AF17" s="38">
        <v>1</v>
      </c>
      <c r="AG17" s="38">
        <v>0</v>
      </c>
      <c r="AH17" s="38">
        <v>1</v>
      </c>
      <c r="AI17" s="1" t="s">
        <v>5</v>
      </c>
      <c r="AJ17" s="21">
        <v>1</v>
      </c>
      <c r="AK17" s="21">
        <v>3</v>
      </c>
      <c r="AL17" s="21">
        <v>1</v>
      </c>
      <c r="AM17" s="21">
        <v>2</v>
      </c>
      <c r="AN17" s="21">
        <v>3</v>
      </c>
    </row>
    <row r="19" spans="25:78" ht="24" customHeight="1">
      <c r="Y19" t="s">
        <v>6</v>
      </c>
      <c r="AJ19" s="7" t="s">
        <v>7</v>
      </c>
    </row>
    <row r="20" spans="25:78" ht="24" customHeight="1">
      <c r="Y20" s="38">
        <v>1</v>
      </c>
      <c r="Z20" s="38">
        <v>1</v>
      </c>
      <c r="AA20" s="38">
        <v>1</v>
      </c>
      <c r="AB20" s="38">
        <v>0</v>
      </c>
      <c r="AC20" s="38">
        <v>0</v>
      </c>
      <c r="AD20" s="38">
        <v>1</v>
      </c>
      <c r="AE20" s="38">
        <v>1</v>
      </c>
      <c r="AF20" s="38">
        <v>0</v>
      </c>
      <c r="AG20" s="38">
        <v>0</v>
      </c>
      <c r="AH20" s="38">
        <v>1</v>
      </c>
      <c r="AI20" s="1" t="s">
        <v>5</v>
      </c>
      <c r="AJ20" s="16" cm="1">
        <f t="array" ref="AJ20:AN22">MMULT(Y20:AH22,AJ3:AN12)</f>
        <v>3</v>
      </c>
      <c r="AK20" s="16">
        <v>4</v>
      </c>
      <c r="AL20" s="16">
        <v>3</v>
      </c>
      <c r="AM20" s="16">
        <v>2</v>
      </c>
      <c r="AN20" s="16">
        <v>2</v>
      </c>
    </row>
    <row r="21" spans="25:78" ht="24" customHeight="1">
      <c r="Y21" s="38">
        <v>1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1</v>
      </c>
      <c r="AI21" s="1" t="s">
        <v>5</v>
      </c>
      <c r="AJ21" s="17">
        <v>3</v>
      </c>
      <c r="AK21" s="17">
        <v>2</v>
      </c>
      <c r="AL21" s="17">
        <v>1</v>
      </c>
      <c r="AM21" s="17">
        <v>2</v>
      </c>
      <c r="AN21" s="17">
        <v>0</v>
      </c>
    </row>
    <row r="22" spans="25:78" ht="24" customHeight="1">
      <c r="Y22" s="38">
        <v>0</v>
      </c>
      <c r="Z22" s="38">
        <v>0</v>
      </c>
      <c r="AA22" s="38">
        <v>0</v>
      </c>
      <c r="AB22" s="38">
        <v>1</v>
      </c>
      <c r="AC22" s="38">
        <v>0</v>
      </c>
      <c r="AD22" s="38">
        <v>0</v>
      </c>
      <c r="AE22" s="38">
        <v>0</v>
      </c>
      <c r="AF22" s="38">
        <v>1</v>
      </c>
      <c r="AG22" s="38">
        <v>0</v>
      </c>
      <c r="AH22" s="38">
        <v>1</v>
      </c>
      <c r="AI22" s="1" t="s">
        <v>5</v>
      </c>
      <c r="AJ22" s="18">
        <v>1</v>
      </c>
      <c r="AK22" s="18">
        <v>3</v>
      </c>
      <c r="AL22" s="18">
        <v>1</v>
      </c>
      <c r="AM22" s="18">
        <v>2</v>
      </c>
      <c r="AN22" s="18">
        <v>3</v>
      </c>
    </row>
    <row r="26" spans="25:78" ht="24" customHeight="1">
      <c r="Y26" t="s">
        <v>8</v>
      </c>
      <c r="AJ26" s="6" t="s">
        <v>9</v>
      </c>
      <c r="AR26" s="6"/>
      <c r="BJ26" s="39"/>
      <c r="BK26" s="6" t="s">
        <v>10</v>
      </c>
      <c r="BR26" s="29" t="s">
        <v>11</v>
      </c>
      <c r="BZ26" s="6" t="s">
        <v>12</v>
      </c>
    </row>
    <row r="27" spans="25:78" ht="24" customHeight="1">
      <c r="Y27" s="38">
        <v>0</v>
      </c>
      <c r="Z27" s="38">
        <v>1</v>
      </c>
      <c r="AA27" s="38">
        <v>0</v>
      </c>
      <c r="AB27" s="38">
        <v>0</v>
      </c>
      <c r="AC27" s="38">
        <v>0</v>
      </c>
      <c r="AD27" s="38">
        <v>1</v>
      </c>
      <c r="AE27" s="38">
        <v>0</v>
      </c>
      <c r="AF27" s="38">
        <v>1</v>
      </c>
      <c r="AG27" s="38">
        <v>0</v>
      </c>
      <c r="AH27" s="38">
        <v>0</v>
      </c>
      <c r="AI27" s="1" t="s">
        <v>5</v>
      </c>
      <c r="AJ27" s="13" cm="1">
        <f t="array" ref="AJ27:AN32">MMULT(Y27:AH32,AJ3:AN12)</f>
        <v>-1</v>
      </c>
      <c r="AK27" s="13">
        <v>1</v>
      </c>
      <c r="AL27" s="13">
        <v>2</v>
      </c>
      <c r="AM27" s="13">
        <v>0</v>
      </c>
      <c r="AN27" s="13">
        <v>3</v>
      </c>
      <c r="AO27" s="22" t="s">
        <v>13</v>
      </c>
      <c r="AP27" s="1" t="s">
        <v>5</v>
      </c>
      <c r="AQ27" s="22" t="s">
        <v>13</v>
      </c>
      <c r="AR27" s="26" cm="1">
        <f t="array" ref="AR27:AV32">_xlfn.ANCHORARRAY(AJ27)</f>
        <v>-1</v>
      </c>
      <c r="AS27" s="26">
        <v>1</v>
      </c>
      <c r="AT27" s="26">
        <v>2</v>
      </c>
      <c r="AU27" s="26">
        <v>0</v>
      </c>
      <c r="AV27" s="26">
        <v>3</v>
      </c>
      <c r="AW27" s="1" t="s">
        <v>14</v>
      </c>
      <c r="AX27" t="s">
        <v>15</v>
      </c>
      <c r="AY27">
        <v>1</v>
      </c>
      <c r="AZ27">
        <v>0.54</v>
      </c>
      <c r="BA27">
        <v>-0.4</v>
      </c>
      <c r="BB27">
        <v>-1</v>
      </c>
      <c r="BC27">
        <v>-0.7</v>
      </c>
      <c r="BD27" s="1" t="s">
        <v>5</v>
      </c>
      <c r="BE27" s="10" cm="1">
        <f t="array" ref="BE27:BI38">AR27:AV38*AY27:BC38</f>
        <v>-1</v>
      </c>
      <c r="BF27" s="10">
        <v>0.54</v>
      </c>
      <c r="BG27" s="10">
        <v>-0.8</v>
      </c>
      <c r="BH27" s="10">
        <v>0</v>
      </c>
      <c r="BI27" s="10">
        <v>-2.0999999999999996</v>
      </c>
      <c r="BK27" s="10" cm="1">
        <f t="array" ref="BK27:BO29">BE27:BI29+BE30:BI32</f>
        <v>-1</v>
      </c>
      <c r="BL27" s="10">
        <v>-1.142941969615793</v>
      </c>
      <c r="BM27" s="10">
        <v>-0.8</v>
      </c>
      <c r="BN27" s="10">
        <v>-0.14112000805986721</v>
      </c>
      <c r="BO27" s="10">
        <v>-2.0999999999999996</v>
      </c>
      <c r="BQ27" s="22" t="s">
        <v>16</v>
      </c>
      <c r="BR27" s="30" cm="1">
        <f t="array" ref="BR27:BV29">_xlfn.ANCHORARRAY(BK27)</f>
        <v>-1</v>
      </c>
      <c r="BS27" s="30">
        <v>-1.142941969615793</v>
      </c>
      <c r="BT27" s="30">
        <v>-0.8</v>
      </c>
      <c r="BU27" s="30">
        <v>-0.14112000805986721</v>
      </c>
      <c r="BV27" s="30">
        <v>-2.0999999999999996</v>
      </c>
    </row>
    <row r="28" spans="25:78" ht="24" customHeight="1">
      <c r="Y28" s="38">
        <v>0</v>
      </c>
      <c r="Z28" s="38">
        <v>1</v>
      </c>
      <c r="AA28" s="38">
        <v>0</v>
      </c>
      <c r="AB28" s="38">
        <v>0</v>
      </c>
      <c r="AC28" s="38">
        <v>0</v>
      </c>
      <c r="AD28" s="38">
        <v>1</v>
      </c>
      <c r="AE28" s="38">
        <v>0</v>
      </c>
      <c r="AF28" s="38">
        <v>0</v>
      </c>
      <c r="AG28" s="38">
        <v>0</v>
      </c>
      <c r="AH28" s="38">
        <v>0</v>
      </c>
      <c r="AI28" s="1" t="s">
        <v>5</v>
      </c>
      <c r="AJ28" s="14">
        <v>-1</v>
      </c>
      <c r="AK28" s="14">
        <v>1</v>
      </c>
      <c r="AL28" s="14">
        <v>1</v>
      </c>
      <c r="AM28" s="14">
        <v>0</v>
      </c>
      <c r="AN28" s="14">
        <v>1</v>
      </c>
      <c r="AO28" s="22"/>
      <c r="AP28" s="1" t="s">
        <v>5</v>
      </c>
      <c r="AQ28" s="22"/>
      <c r="AR28" s="27">
        <v>-1</v>
      </c>
      <c r="AS28" s="27">
        <v>1</v>
      </c>
      <c r="AT28" s="27">
        <v>1</v>
      </c>
      <c r="AU28" s="27">
        <v>0</v>
      </c>
      <c r="AV28" s="27">
        <v>1</v>
      </c>
      <c r="AW28" s="1" t="s">
        <v>14</v>
      </c>
      <c r="AY28">
        <v>1</v>
      </c>
      <c r="AZ28">
        <v>0.64</v>
      </c>
      <c r="BA28">
        <v>-0.2</v>
      </c>
      <c r="BB28">
        <v>-0.9</v>
      </c>
      <c r="BC28">
        <v>-0.9</v>
      </c>
      <c r="BD28" s="1" t="s">
        <v>5</v>
      </c>
      <c r="BE28" s="11">
        <v>-1</v>
      </c>
      <c r="BF28" s="11">
        <v>0.64</v>
      </c>
      <c r="BG28" s="11">
        <v>-0.2</v>
      </c>
      <c r="BH28" s="11">
        <v>0</v>
      </c>
      <c r="BI28" s="11">
        <v>-0.9</v>
      </c>
      <c r="BK28" s="11">
        <v>-1</v>
      </c>
      <c r="BL28" s="11">
        <v>-0.90137905026685228</v>
      </c>
      <c r="BM28" s="11">
        <v>-3.1465503226219504</v>
      </c>
      <c r="BN28" s="11">
        <v>-0.48102634755868812</v>
      </c>
      <c r="BO28" s="11">
        <v>0.57661213584338256</v>
      </c>
      <c r="BQ28" s="2"/>
      <c r="BR28" s="31">
        <v>-1</v>
      </c>
      <c r="BS28" s="31">
        <v>-0.90137905026685228</v>
      </c>
      <c r="BT28" s="31">
        <v>-3.1465503226219504</v>
      </c>
      <c r="BU28" s="31">
        <v>-0.48102634755868812</v>
      </c>
      <c r="BV28" s="31">
        <v>0.57661213584338256</v>
      </c>
    </row>
    <row r="29" spans="25:78" ht="24" customHeight="1">
      <c r="Y29" s="38">
        <v>1</v>
      </c>
      <c r="Z29" s="38">
        <v>0</v>
      </c>
      <c r="AA29" s="38">
        <v>0</v>
      </c>
      <c r="AB29" s="38">
        <v>1</v>
      </c>
      <c r="AC29" s="38">
        <v>1</v>
      </c>
      <c r="AD29" s="38">
        <v>0</v>
      </c>
      <c r="AE29" s="38">
        <v>0</v>
      </c>
      <c r="AF29" s="38">
        <v>1</v>
      </c>
      <c r="AG29" s="38">
        <v>1</v>
      </c>
      <c r="AH29" s="38">
        <v>0</v>
      </c>
      <c r="AI29" s="1" t="s">
        <v>5</v>
      </c>
      <c r="AJ29" s="14">
        <v>3</v>
      </c>
      <c r="AK29" s="14">
        <v>2</v>
      </c>
      <c r="AL29" s="14">
        <v>3</v>
      </c>
      <c r="AM29" s="14">
        <v>1</v>
      </c>
      <c r="AN29" s="14">
        <v>4</v>
      </c>
      <c r="AO29" s="6"/>
      <c r="AP29" s="1" t="s">
        <v>5</v>
      </c>
      <c r="AQ29" s="6"/>
      <c r="AR29" s="28">
        <v>3</v>
      </c>
      <c r="AS29" s="28">
        <v>2</v>
      </c>
      <c r="AT29" s="28">
        <v>3</v>
      </c>
      <c r="AU29" s="28">
        <v>1</v>
      </c>
      <c r="AV29" s="28">
        <v>4</v>
      </c>
      <c r="AW29" s="1" t="s">
        <v>14</v>
      </c>
      <c r="AY29">
        <v>1</v>
      </c>
      <c r="AZ29">
        <v>0.71</v>
      </c>
      <c r="BA29">
        <v>0.02</v>
      </c>
      <c r="BB29">
        <v>-0.7</v>
      </c>
      <c r="BC29">
        <v>-1</v>
      </c>
      <c r="BD29" s="1" t="s">
        <v>5</v>
      </c>
      <c r="BE29" s="12">
        <v>3</v>
      </c>
      <c r="BF29" s="12">
        <v>1.42</v>
      </c>
      <c r="BG29" s="12">
        <v>0.06</v>
      </c>
      <c r="BH29" s="12">
        <v>-0.7</v>
      </c>
      <c r="BI29" s="12">
        <v>-4</v>
      </c>
      <c r="BK29" s="12">
        <v>3</v>
      </c>
      <c r="BL29" s="12">
        <v>2.1620309732696352E-2</v>
      </c>
      <c r="BM29" s="12">
        <v>0.06</v>
      </c>
      <c r="BN29" s="12">
        <v>-1.4303277347944436</v>
      </c>
      <c r="BO29" s="12">
        <v>-4</v>
      </c>
      <c r="BQ29" s="2"/>
      <c r="BR29" s="32">
        <v>3</v>
      </c>
      <c r="BS29" s="32">
        <v>2.1620309732696352E-2</v>
      </c>
      <c r="BT29" s="32">
        <v>0.06</v>
      </c>
      <c r="BU29" s="32">
        <v>-1.4303277347944436</v>
      </c>
      <c r="BV29" s="32">
        <v>-4</v>
      </c>
    </row>
    <row r="30" spans="25:78" ht="24" customHeight="1">
      <c r="Y30" s="38">
        <v>0</v>
      </c>
      <c r="Z30" s="38">
        <v>0</v>
      </c>
      <c r="AA30" s="38">
        <v>0</v>
      </c>
      <c r="AB30" s="38">
        <v>0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1</v>
      </c>
      <c r="AI30" s="1" t="s">
        <v>5</v>
      </c>
      <c r="AJ30" s="14">
        <v>1</v>
      </c>
      <c r="AK30" s="14">
        <v>2</v>
      </c>
      <c r="AL30" s="14">
        <v>0</v>
      </c>
      <c r="AM30" s="14">
        <v>1</v>
      </c>
      <c r="AN30" s="14">
        <v>0</v>
      </c>
      <c r="AO30" s="22" t="s">
        <v>17</v>
      </c>
      <c r="AP30" s="1" t="s">
        <v>5</v>
      </c>
      <c r="AQ30" s="22" t="s">
        <v>17</v>
      </c>
      <c r="AR30" s="26">
        <v>1</v>
      </c>
      <c r="AS30" s="26">
        <v>2</v>
      </c>
      <c r="AT30" s="26">
        <v>0</v>
      </c>
      <c r="AU30" s="26">
        <v>1</v>
      </c>
      <c r="AV30" s="26">
        <v>0</v>
      </c>
      <c r="AW30" s="1" t="s">
        <v>14</v>
      </c>
      <c r="AX30" s="4" t="s">
        <v>18</v>
      </c>
      <c r="AY30">
        <v>0</v>
      </c>
      <c r="AZ30">
        <v>-0.8414709848078965</v>
      </c>
      <c r="BA30">
        <v>-0.90929742682568171</v>
      </c>
      <c r="BB30">
        <v>-0.14112000805986721</v>
      </c>
      <c r="BC30">
        <v>0.7568024953079282</v>
      </c>
      <c r="BD30" s="1" t="s">
        <v>5</v>
      </c>
      <c r="BE30" s="10">
        <v>0</v>
      </c>
      <c r="BF30" s="10">
        <v>-1.682941969615793</v>
      </c>
      <c r="BG30" s="10">
        <v>0</v>
      </c>
      <c r="BH30" s="10">
        <v>-0.14112000805986721</v>
      </c>
      <c r="BI30" s="10">
        <v>0</v>
      </c>
      <c r="BQ30" s="22" t="s">
        <v>19</v>
      </c>
      <c r="BR30" s="30" cm="1">
        <f t="array" ref="BR30:BV32">_xlfn.ANCHORARRAY(BK33)</f>
        <v>1</v>
      </c>
      <c r="BS30" s="30">
        <v>1.9214709848078966</v>
      </c>
      <c r="BT30" s="30">
        <v>1.8185948536513634</v>
      </c>
      <c r="BU30" s="30">
        <v>-1</v>
      </c>
      <c r="BV30" s="30">
        <v>-2.2704074859237844</v>
      </c>
    </row>
    <row r="31" spans="25:78" ht="24" customHeight="1">
      <c r="Y31" s="38">
        <v>1</v>
      </c>
      <c r="Z31" s="38">
        <v>0</v>
      </c>
      <c r="AA31" s="38">
        <v>0</v>
      </c>
      <c r="AB31" s="38">
        <v>1</v>
      </c>
      <c r="AC31" s="38">
        <v>1</v>
      </c>
      <c r="AD31" s="38">
        <v>0</v>
      </c>
      <c r="AE31" s="38">
        <v>0</v>
      </c>
      <c r="AF31" s="38">
        <v>1</v>
      </c>
      <c r="AG31" s="38">
        <v>1</v>
      </c>
      <c r="AH31" s="38">
        <v>0</v>
      </c>
      <c r="AI31" s="1" t="s">
        <v>5</v>
      </c>
      <c r="AJ31" s="14">
        <v>3</v>
      </c>
      <c r="AK31" s="14">
        <v>2</v>
      </c>
      <c r="AL31" s="14">
        <v>3</v>
      </c>
      <c r="AM31" s="14">
        <v>1</v>
      </c>
      <c r="AN31" s="14">
        <v>4</v>
      </c>
      <c r="AP31" s="1" t="s">
        <v>5</v>
      </c>
      <c r="AQ31" s="6"/>
      <c r="AR31" s="27">
        <v>3</v>
      </c>
      <c r="AS31" s="27">
        <v>2</v>
      </c>
      <c r="AT31" s="27">
        <v>3</v>
      </c>
      <c r="AU31" s="27">
        <v>1</v>
      </c>
      <c r="AV31" s="27">
        <v>4</v>
      </c>
      <c r="AW31" s="1"/>
      <c r="AY31">
        <v>0</v>
      </c>
      <c r="AZ31">
        <v>-0.77068952513342615</v>
      </c>
      <c r="BA31">
        <v>-0.98218344087398346</v>
      </c>
      <c r="BB31">
        <v>-0.48102634755868812</v>
      </c>
      <c r="BC31">
        <v>0.36915303396084564</v>
      </c>
      <c r="BD31" s="1" t="s">
        <v>5</v>
      </c>
      <c r="BE31" s="11">
        <v>0</v>
      </c>
      <c r="BF31" s="11">
        <v>-1.5413790502668523</v>
      </c>
      <c r="BG31" s="11">
        <v>-2.9465503226219503</v>
      </c>
      <c r="BH31" s="11">
        <v>-0.48102634755868812</v>
      </c>
      <c r="BI31" s="11">
        <v>1.4766121358433826</v>
      </c>
      <c r="BR31" s="31">
        <v>3</v>
      </c>
      <c r="BS31" s="31">
        <v>2.0506895251334263</v>
      </c>
      <c r="BT31" s="31">
        <v>0.38218344087398337</v>
      </c>
      <c r="BU31" s="31">
        <v>-0.9</v>
      </c>
      <c r="BV31" s="31">
        <v>-3.9691530339608456</v>
      </c>
    </row>
    <row r="32" spans="25:78" ht="24" customHeight="1" thickBot="1"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1</v>
      </c>
      <c r="AI32" s="1" t="s">
        <v>5</v>
      </c>
      <c r="AJ32" s="15">
        <v>1</v>
      </c>
      <c r="AK32" s="15">
        <v>2</v>
      </c>
      <c r="AL32" s="15">
        <v>0</v>
      </c>
      <c r="AM32" s="15">
        <v>1</v>
      </c>
      <c r="AN32" s="15">
        <v>0</v>
      </c>
      <c r="AP32" s="1" t="s">
        <v>5</v>
      </c>
      <c r="AQ32" s="6"/>
      <c r="AR32" s="28">
        <v>1</v>
      </c>
      <c r="AS32" s="28">
        <v>2</v>
      </c>
      <c r="AT32" s="28">
        <v>0</v>
      </c>
      <c r="AU32" s="28">
        <v>1</v>
      </c>
      <c r="AV32" s="28">
        <v>0</v>
      </c>
      <c r="AW32" s="1" t="s">
        <v>14</v>
      </c>
      <c r="AY32">
        <v>0</v>
      </c>
      <c r="AZ32">
        <v>-0.69918984513365179</v>
      </c>
      <c r="BA32">
        <v>-0.99975205692499469</v>
      </c>
      <c r="BB32">
        <v>-0.73032773479444368</v>
      </c>
      <c r="BC32">
        <v>-4.4523199891053376E-2</v>
      </c>
      <c r="BD32" s="1" t="s">
        <v>5</v>
      </c>
      <c r="BE32" s="25">
        <v>0</v>
      </c>
      <c r="BF32" s="25">
        <v>-1.3983796902673036</v>
      </c>
      <c r="BG32" s="25">
        <v>0</v>
      </c>
      <c r="BH32" s="25">
        <v>-0.73032773479444368</v>
      </c>
      <c r="BI32" s="25">
        <v>0</v>
      </c>
      <c r="BK32" s="6" t="s">
        <v>20</v>
      </c>
      <c r="BR32" s="32">
        <v>1</v>
      </c>
      <c r="BS32" s="32">
        <v>2.8183796902673035</v>
      </c>
      <c r="BT32" s="32">
        <v>2.9992561707749843</v>
      </c>
      <c r="BU32" s="32">
        <v>3.0327734794443728E-2</v>
      </c>
      <c r="BV32" s="32">
        <v>0.17809279956421351</v>
      </c>
    </row>
    <row r="33" spans="25:95" ht="24" customHeight="1" thickTop="1">
      <c r="AQ33" s="22" t="s">
        <v>13</v>
      </c>
      <c r="AR33" s="26" cm="1">
        <f t="array" ref="AR33:AV38">_xlfn.ANCHORARRAY(AJ27)</f>
        <v>-1</v>
      </c>
      <c r="AS33" s="26">
        <v>1</v>
      </c>
      <c r="AT33" s="26">
        <v>2</v>
      </c>
      <c r="AU33" s="26">
        <v>0</v>
      </c>
      <c r="AV33" s="26">
        <v>3</v>
      </c>
      <c r="AW33" s="1" t="s">
        <v>14</v>
      </c>
      <c r="AX33" s="4" t="s">
        <v>21</v>
      </c>
      <c r="AY33">
        <v>0</v>
      </c>
      <c r="AZ33">
        <v>0.8414709848078965</v>
      </c>
      <c r="BA33">
        <v>0.90929742682568171</v>
      </c>
      <c r="BB33">
        <v>0.14112000805986721</v>
      </c>
      <c r="BC33">
        <v>-0.7568024953079282</v>
      </c>
      <c r="BD33" s="1" t="s">
        <v>5</v>
      </c>
      <c r="BE33" s="11">
        <v>0</v>
      </c>
      <c r="BF33" s="11">
        <v>0.8414709848078965</v>
      </c>
      <c r="BG33" s="11">
        <v>1.8185948536513634</v>
      </c>
      <c r="BH33" s="11">
        <v>0</v>
      </c>
      <c r="BI33" s="11">
        <v>-2.2704074859237844</v>
      </c>
      <c r="BK33" s="10" cm="1">
        <f t="array" ref="BK33:BO35">BE33:BI35+BE36:BI38</f>
        <v>1</v>
      </c>
      <c r="BL33" s="10">
        <v>1.9214709848078966</v>
      </c>
      <c r="BM33" s="10">
        <v>1.8185948536513634</v>
      </c>
      <c r="BN33" s="10">
        <v>-1</v>
      </c>
      <c r="BO33" s="10">
        <v>-2.2704074859237844</v>
      </c>
    </row>
    <row r="34" spans="25:95" ht="24" customHeight="1">
      <c r="AQ34" s="22"/>
      <c r="AR34" s="27">
        <v>-1</v>
      </c>
      <c r="AS34" s="27">
        <v>1</v>
      </c>
      <c r="AT34" s="27">
        <v>1</v>
      </c>
      <c r="AU34" s="27">
        <v>0</v>
      </c>
      <c r="AV34" s="27">
        <v>1</v>
      </c>
      <c r="AW34" s="1" t="s">
        <v>14</v>
      </c>
      <c r="AY34">
        <v>0</v>
      </c>
      <c r="AZ34">
        <v>0.77068952513342615</v>
      </c>
      <c r="BA34">
        <v>0.98218344087398346</v>
      </c>
      <c r="BB34">
        <v>0.48102634755868812</v>
      </c>
      <c r="BC34">
        <v>-0.36915303396084564</v>
      </c>
      <c r="BD34" s="1" t="s">
        <v>5</v>
      </c>
      <c r="BE34" s="11">
        <v>0</v>
      </c>
      <c r="BF34" s="11">
        <v>0.77068952513342615</v>
      </c>
      <c r="BG34" s="11">
        <v>0.98218344087398346</v>
      </c>
      <c r="BH34" s="11">
        <v>0</v>
      </c>
      <c r="BI34" s="11">
        <v>-0.36915303396084564</v>
      </c>
      <c r="BK34" s="11">
        <v>3</v>
      </c>
      <c r="BL34" s="11">
        <v>2.0506895251334263</v>
      </c>
      <c r="BM34" s="11">
        <v>0.38218344087398337</v>
      </c>
      <c r="BN34" s="11">
        <v>-0.9</v>
      </c>
      <c r="BO34" s="11">
        <v>-3.9691530339608456</v>
      </c>
    </row>
    <row r="35" spans="25:95" ht="24" customHeight="1">
      <c r="AQ35" s="6"/>
      <c r="AR35" s="28">
        <v>3</v>
      </c>
      <c r="AS35" s="28">
        <v>2</v>
      </c>
      <c r="AT35" s="28">
        <v>3</v>
      </c>
      <c r="AU35" s="28">
        <v>1</v>
      </c>
      <c r="AV35" s="28">
        <v>4</v>
      </c>
      <c r="AW35" s="1" t="s">
        <v>14</v>
      </c>
      <c r="AY35">
        <v>0</v>
      </c>
      <c r="AZ35">
        <v>0.69918984513365179</v>
      </c>
      <c r="BA35">
        <v>0.99975205692499469</v>
      </c>
      <c r="BB35">
        <v>0.73032773479444368</v>
      </c>
      <c r="BC35">
        <v>4.4523199891053376E-2</v>
      </c>
      <c r="BD35" s="1" t="s">
        <v>5</v>
      </c>
      <c r="BE35" s="12">
        <v>0</v>
      </c>
      <c r="BF35" s="12">
        <v>1.3983796902673036</v>
      </c>
      <c r="BG35" s="12">
        <v>2.9992561707749843</v>
      </c>
      <c r="BH35" s="12">
        <v>0.73032773479444368</v>
      </c>
      <c r="BI35" s="12">
        <v>0.17809279956421351</v>
      </c>
      <c r="BK35" s="12">
        <v>1</v>
      </c>
      <c r="BL35" s="12">
        <v>2.8183796902673035</v>
      </c>
      <c r="BM35" s="12">
        <v>2.9992561707749843</v>
      </c>
      <c r="BN35" s="12">
        <v>3.0327734794443728E-2</v>
      </c>
      <c r="BO35" s="12">
        <v>0.17809279956421351</v>
      </c>
    </row>
    <row r="36" spans="25:95" ht="24" customHeight="1">
      <c r="AQ36" s="23" t="s">
        <v>17</v>
      </c>
      <c r="AR36" s="26">
        <v>1</v>
      </c>
      <c r="AS36" s="26">
        <v>2</v>
      </c>
      <c r="AT36" s="26">
        <v>0</v>
      </c>
      <c r="AU36" s="26">
        <v>1</v>
      </c>
      <c r="AV36" s="26">
        <v>0</v>
      </c>
      <c r="AW36" s="1" t="s">
        <v>14</v>
      </c>
      <c r="AX36" t="s">
        <v>15</v>
      </c>
      <c r="AY36">
        <v>1</v>
      </c>
      <c r="AZ36">
        <v>0.54</v>
      </c>
      <c r="BA36">
        <v>-0.4</v>
      </c>
      <c r="BB36">
        <v>-1</v>
      </c>
      <c r="BC36">
        <v>-0.7</v>
      </c>
      <c r="BD36" s="1" t="s">
        <v>5</v>
      </c>
      <c r="BE36" s="11">
        <v>1</v>
      </c>
      <c r="BF36" s="11">
        <v>1.08</v>
      </c>
      <c r="BG36" s="11">
        <v>0</v>
      </c>
      <c r="BH36" s="11">
        <v>-1</v>
      </c>
      <c r="BI36" s="11">
        <v>0</v>
      </c>
    </row>
    <row r="37" spans="25:95" ht="24" customHeight="1">
      <c r="AQ37" s="6"/>
      <c r="AR37" s="27">
        <v>3</v>
      </c>
      <c r="AS37" s="27">
        <v>2</v>
      </c>
      <c r="AT37" s="27">
        <v>3</v>
      </c>
      <c r="AU37" s="27">
        <v>1</v>
      </c>
      <c r="AV37" s="27">
        <v>4</v>
      </c>
      <c r="AW37" s="1" t="s">
        <v>14</v>
      </c>
      <c r="AY37">
        <v>1</v>
      </c>
      <c r="AZ37">
        <v>0.64</v>
      </c>
      <c r="BA37">
        <v>-0.2</v>
      </c>
      <c r="BB37">
        <v>-0.9</v>
      </c>
      <c r="BC37">
        <v>-0.9</v>
      </c>
      <c r="BD37" s="1" t="s">
        <v>5</v>
      </c>
      <c r="BE37" s="11">
        <v>3</v>
      </c>
      <c r="BF37" s="11">
        <v>1.28</v>
      </c>
      <c r="BG37" s="11">
        <v>-0.60000000000000009</v>
      </c>
      <c r="BH37" s="11">
        <v>-0.9</v>
      </c>
      <c r="BI37" s="11">
        <v>-3.6</v>
      </c>
    </row>
    <row r="38" spans="25:95" ht="24" customHeight="1">
      <c r="AQ38" s="6"/>
      <c r="AR38" s="28">
        <v>1</v>
      </c>
      <c r="AS38" s="28">
        <v>2</v>
      </c>
      <c r="AT38" s="28">
        <v>0</v>
      </c>
      <c r="AU38" s="28">
        <v>1</v>
      </c>
      <c r="AV38" s="28">
        <v>0</v>
      </c>
      <c r="AW38" s="1" t="s">
        <v>14</v>
      </c>
      <c r="AY38">
        <v>1</v>
      </c>
      <c r="AZ38">
        <v>0.71</v>
      </c>
      <c r="BA38">
        <v>0.02</v>
      </c>
      <c r="BB38">
        <v>-0.7</v>
      </c>
      <c r="BC38">
        <v>-1</v>
      </c>
      <c r="BD38" s="1" t="s">
        <v>5</v>
      </c>
      <c r="BE38" s="12">
        <v>1</v>
      </c>
      <c r="BF38" s="12">
        <v>1.42</v>
      </c>
      <c r="BG38" s="12">
        <v>0</v>
      </c>
      <c r="BH38" s="12">
        <v>-0.7</v>
      </c>
      <c r="BI38" s="12">
        <v>0</v>
      </c>
    </row>
    <row r="39" spans="25:95" ht="24" customHeight="1">
      <c r="BD39" s="1"/>
    </row>
    <row r="41" spans="25:95" ht="24" customHeight="1">
      <c r="AJ41" s="6" t="s">
        <v>0</v>
      </c>
    </row>
    <row r="42" spans="25:95" ht="24" customHeight="1"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</row>
    <row r="43" spans="25:95" ht="24" customHeight="1">
      <c r="AJ43" s="6" t="s">
        <v>22</v>
      </c>
      <c r="AV43" s="6" t="s">
        <v>23</v>
      </c>
      <c r="AW43" s="26" cm="1">
        <f t="array" ref="AW43:BA44">AJ53:AN54</f>
        <v>4</v>
      </c>
      <c r="AX43" s="26">
        <v>3</v>
      </c>
      <c r="AY43" s="26">
        <v>3</v>
      </c>
      <c r="AZ43" s="26">
        <v>2</v>
      </c>
      <c r="BA43" s="26">
        <v>3</v>
      </c>
    </row>
    <row r="44" spans="25:95" ht="24" customHeight="1">
      <c r="Y44" s="38">
        <v>0</v>
      </c>
      <c r="Z44" s="38">
        <v>1</v>
      </c>
      <c r="AA44" s="38">
        <v>0</v>
      </c>
      <c r="AB44" s="38">
        <v>1</v>
      </c>
      <c r="AC44" s="38">
        <v>0</v>
      </c>
      <c r="AD44" s="38">
        <v>0</v>
      </c>
      <c r="AE44" s="38">
        <v>1</v>
      </c>
      <c r="AF44" s="38">
        <v>1</v>
      </c>
      <c r="AG44" s="38">
        <v>0</v>
      </c>
      <c r="AH44" s="38">
        <v>1</v>
      </c>
      <c r="AI44" s="1" t="s">
        <v>5</v>
      </c>
      <c r="AJ44" s="13" cm="1">
        <f t="array" ref="AJ44:AN45">MMULT(Y44:AH45,AJ3:AN12)</f>
        <v>1</v>
      </c>
      <c r="AK44" s="13">
        <v>5</v>
      </c>
      <c r="AL44" s="13">
        <v>1</v>
      </c>
      <c r="AM44" s="13">
        <v>2</v>
      </c>
      <c r="AN44" s="13">
        <v>4</v>
      </c>
      <c r="AW44" s="28">
        <v>1</v>
      </c>
      <c r="AX44" s="28">
        <v>2</v>
      </c>
      <c r="AY44" s="28">
        <v>1</v>
      </c>
      <c r="AZ44" s="28">
        <v>0</v>
      </c>
      <c r="BA44" s="28">
        <v>2</v>
      </c>
    </row>
    <row r="45" spans="25:95" ht="24" customHeight="1">
      <c r="Y45" s="38">
        <v>1</v>
      </c>
      <c r="Z45" s="38">
        <v>0</v>
      </c>
      <c r="AA45" s="38">
        <v>1</v>
      </c>
      <c r="AB45" s="38">
        <v>0</v>
      </c>
      <c r="AC45" s="38">
        <v>1</v>
      </c>
      <c r="AD45" s="38">
        <v>0</v>
      </c>
      <c r="AE45" s="38">
        <v>1</v>
      </c>
      <c r="AF45" s="38">
        <v>0</v>
      </c>
      <c r="AG45" s="38">
        <v>1</v>
      </c>
      <c r="AH45" s="38">
        <v>0</v>
      </c>
      <c r="AI45" s="1" t="s">
        <v>5</v>
      </c>
      <c r="AJ45" s="15">
        <v>4</v>
      </c>
      <c r="AK45" s="15">
        <v>2</v>
      </c>
      <c r="AL45" s="15">
        <v>3</v>
      </c>
      <c r="AM45" s="15">
        <v>0</v>
      </c>
      <c r="AN45" s="15">
        <v>2</v>
      </c>
      <c r="AW45" s="1" t="s">
        <v>2</v>
      </c>
      <c r="AX45" s="1" t="s">
        <v>2</v>
      </c>
      <c r="AY45" s="1" t="s">
        <v>2</v>
      </c>
      <c r="AZ45" s="1" t="s">
        <v>2</v>
      </c>
      <c r="BA45" s="1" t="s">
        <v>2</v>
      </c>
      <c r="CG45" s="51" t="s">
        <v>24</v>
      </c>
      <c r="CH45" s="3"/>
      <c r="CI45" s="24" t="s">
        <v>25</v>
      </c>
    </row>
    <row r="46" spans="25:95" ht="24" customHeight="1">
      <c r="AT46" s="6" t="s">
        <v>26</v>
      </c>
      <c r="AU46" s="6"/>
      <c r="AV46" s="6"/>
      <c r="AW46" s="6" t="s">
        <v>27</v>
      </c>
      <c r="AX46" s="6"/>
      <c r="AY46" s="6"/>
      <c r="AZ46" s="6"/>
      <c r="BA46" s="6"/>
      <c r="BB46" s="6"/>
      <c r="BC46" s="6" t="s">
        <v>28</v>
      </c>
      <c r="BD46" s="6"/>
      <c r="BE46" s="6" t="s">
        <v>29</v>
      </c>
      <c r="BF46" s="6"/>
      <c r="BO46" s="24" t="s">
        <v>30</v>
      </c>
      <c r="BU46" s="24" t="s">
        <v>31</v>
      </c>
      <c r="BV46" s="24"/>
      <c r="BW46" s="24"/>
      <c r="BX46" s="24"/>
      <c r="BY46" s="24"/>
      <c r="BZ46" s="24"/>
      <c r="CA46" s="24" t="s">
        <v>32</v>
      </c>
      <c r="CG46" s="24" t="s">
        <v>33</v>
      </c>
      <c r="CH46" s="24"/>
      <c r="CK46" s="24"/>
      <c r="CL46" s="24"/>
      <c r="CM46" s="24" t="s">
        <v>34</v>
      </c>
    </row>
    <row r="47" spans="25:95" ht="24" customHeight="1">
      <c r="AJ47" s="6" t="s">
        <v>35</v>
      </c>
      <c r="AT47" s="48" cm="1">
        <f t="array" ref="AT47:AU51">TRANSPOSE(AJ44:AN45)</f>
        <v>1</v>
      </c>
      <c r="AU47" s="49">
        <v>4</v>
      </c>
      <c r="AV47" s="1" t="s">
        <v>5</v>
      </c>
      <c r="AW47" s="10" cm="1">
        <f t="array" ref="AW47:BA51">MMULT(_xlfn.ANCHORARRAY(AT47),_xlfn.ANCHORARRAY(AW43))</f>
        <v>8</v>
      </c>
      <c r="AX47" s="10">
        <v>11</v>
      </c>
      <c r="AY47" s="10">
        <v>7</v>
      </c>
      <c r="AZ47" s="10">
        <v>2</v>
      </c>
      <c r="BA47" s="10">
        <v>11</v>
      </c>
      <c r="BB47" s="1" t="s">
        <v>5</v>
      </c>
      <c r="BC47" s="50" cm="1">
        <f t="array" ref="BC47:BC51">TRANSPOSE(AJ56:AN56)</f>
        <v>-2</v>
      </c>
      <c r="BD47" s="1" t="s">
        <v>5</v>
      </c>
      <c r="BE47" s="10" cm="1">
        <f t="array" ref="BE47:BI51">_xlfn.ANCHORARRAY(AW47)*_xlfn.ANCHORARRAY(BC47)</f>
        <v>-16</v>
      </c>
      <c r="BF47" s="10">
        <v>-22</v>
      </c>
      <c r="BG47" s="10">
        <v>-14</v>
      </c>
      <c r="BH47" s="10">
        <v>-4</v>
      </c>
      <c r="BI47" s="10">
        <v>-22</v>
      </c>
      <c r="BM47" s="6" t="s">
        <v>36</v>
      </c>
      <c r="BO47" s="10" cm="1">
        <f t="array" ref="BO47:BS51">_xlfn.ANCHORARRAY(BE47)+_xlfn.ANCHORARRAY(BE58)</f>
        <v>120</v>
      </c>
      <c r="BP47" s="10">
        <v>6</v>
      </c>
      <c r="BQ47" s="10">
        <v>82</v>
      </c>
      <c r="BR47" s="10">
        <v>-12</v>
      </c>
      <c r="BS47" s="10">
        <v>6</v>
      </c>
      <c r="BT47" s="1" t="s">
        <v>37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" t="s">
        <v>5</v>
      </c>
      <c r="CA47" s="10" cm="1">
        <f t="array" ref="CA47:CE51">_xlfn.ANCHORARRAY(BO47)+BU47:BY51</f>
        <v>120</v>
      </c>
      <c r="CB47" s="10">
        <v>6</v>
      </c>
      <c r="CC47" s="10">
        <v>82</v>
      </c>
      <c r="CD47" s="10">
        <v>-12</v>
      </c>
      <c r="CE47" s="10">
        <v>6</v>
      </c>
      <c r="CG47" s="10" cm="1">
        <f t="array" ref="CG47:CG51">_xlfn.LET(_xlpm.r,CA47:CA51,_xlfn.SORTBY(_xlfn.SEQUENCE(ROWS(_xlpm.r),1),_xlpm.r,-1))</f>
        <v>1</v>
      </c>
      <c r="CH47" s="10" cm="1">
        <f t="array" ref="CH47:CH51">_xlfn.LET(_xlpm.r,CB47:CB51,_xlfn.SORTBY(_xlfn.SEQUENCE(ROWS(_xlpm.r),1),_xlpm.r,-1))</f>
        <v>2</v>
      </c>
      <c r="CI47" s="10" cm="1">
        <f t="array" ref="CI47:CI51">_xlfn.LET(_xlpm.r,CC47:CC51,_xlfn.SORTBY(_xlfn.SEQUENCE(ROWS(_xlpm.r),1),_xlpm.r,-1))</f>
        <v>2</v>
      </c>
      <c r="CJ47" s="10" cm="1">
        <f t="array" ref="CJ47:CJ51">_xlfn.LET(_xlpm.r,CD47:CD51,_xlfn.SORTBY(_xlfn.SEQUENCE(ROWS(_xlpm.r),1),_xlpm.r,-1))</f>
        <v>2</v>
      </c>
      <c r="CK47" s="10" cm="1">
        <f t="array" ref="CK47:CK51">_xlfn.LET(_xlpm.r,CE47:CE51,_xlfn.SORTBY(_xlfn.SEQUENCE(ROWS(_xlpm.r),1),_xlpm.r,-1))</f>
        <v>2</v>
      </c>
      <c r="CL47" s="1" t="s">
        <v>5</v>
      </c>
      <c r="CM47" s="10" cm="1">
        <f t="array" ref="CM47:CQ51">_xlfn.LET(_xlpm.x, CG47:CK51, IF(_xlpm.x&lt;=2, 0, -100))</f>
        <v>0</v>
      </c>
      <c r="CN47" s="10">
        <v>0</v>
      </c>
      <c r="CO47" s="10">
        <v>0</v>
      </c>
      <c r="CP47" s="10">
        <v>0</v>
      </c>
      <c r="CQ47" s="10">
        <v>0</v>
      </c>
    </row>
    <row r="48" spans="25:95" ht="24" customHeight="1">
      <c r="AJ48" s="33" cm="1">
        <f t="array" ref="AJ48:AN50">_xlfn.ANCHORARRAY(AJ15)</f>
        <v>4</v>
      </c>
      <c r="AK48" s="33">
        <v>2</v>
      </c>
      <c r="AL48" s="33">
        <v>3</v>
      </c>
      <c r="AM48" s="33">
        <v>0</v>
      </c>
      <c r="AN48" s="33">
        <v>2</v>
      </c>
      <c r="AT48" s="48">
        <v>5</v>
      </c>
      <c r="AU48" s="49">
        <v>2</v>
      </c>
      <c r="AV48" s="1" t="s">
        <v>5</v>
      </c>
      <c r="AW48" s="11">
        <v>22</v>
      </c>
      <c r="AX48" s="11">
        <v>19</v>
      </c>
      <c r="AY48" s="11">
        <v>17</v>
      </c>
      <c r="AZ48" s="11">
        <v>10</v>
      </c>
      <c r="BA48" s="11">
        <v>19</v>
      </c>
      <c r="BB48" s="1" t="s">
        <v>5</v>
      </c>
      <c r="BC48" s="50">
        <v>3</v>
      </c>
      <c r="BD48" s="1" t="s">
        <v>5</v>
      </c>
      <c r="BE48" s="11">
        <v>66</v>
      </c>
      <c r="BF48" s="11">
        <v>57</v>
      </c>
      <c r="BG48" s="11">
        <v>51</v>
      </c>
      <c r="BH48" s="11">
        <v>30</v>
      </c>
      <c r="BI48" s="11">
        <v>57</v>
      </c>
      <c r="BO48" s="11">
        <v>198</v>
      </c>
      <c r="BP48" s="11">
        <v>54</v>
      </c>
      <c r="BQ48" s="11">
        <v>141</v>
      </c>
      <c r="BR48" s="11">
        <v>0</v>
      </c>
      <c r="BS48" s="11">
        <v>54</v>
      </c>
      <c r="BT48" s="1" t="s">
        <v>37</v>
      </c>
      <c r="BU48" s="11">
        <v>-99</v>
      </c>
      <c r="BV48" s="11">
        <v>0</v>
      </c>
      <c r="BW48" s="11">
        <v>0</v>
      </c>
      <c r="BX48" s="11">
        <v>0</v>
      </c>
      <c r="BY48" s="11">
        <v>0</v>
      </c>
      <c r="BZ48" s="1" t="s">
        <v>5</v>
      </c>
      <c r="CA48" s="11">
        <v>99</v>
      </c>
      <c r="CB48" s="11">
        <v>54</v>
      </c>
      <c r="CC48" s="11">
        <v>141</v>
      </c>
      <c r="CD48" s="11">
        <v>0</v>
      </c>
      <c r="CE48" s="11">
        <v>54</v>
      </c>
      <c r="CG48" s="11">
        <v>2</v>
      </c>
      <c r="CH48" s="11">
        <v>1</v>
      </c>
      <c r="CI48" s="11">
        <v>1</v>
      </c>
      <c r="CJ48" s="11">
        <v>4</v>
      </c>
      <c r="CK48" s="11">
        <v>5</v>
      </c>
      <c r="CL48" s="1" t="s">
        <v>5</v>
      </c>
      <c r="CM48" s="11">
        <v>0</v>
      </c>
      <c r="CN48" s="11">
        <v>0</v>
      </c>
      <c r="CO48" s="11">
        <v>0</v>
      </c>
      <c r="CP48" s="11">
        <v>-100</v>
      </c>
      <c r="CQ48" s="11">
        <v>-100</v>
      </c>
    </row>
    <row r="49" spans="32:95" ht="24" customHeight="1">
      <c r="AJ49" s="34">
        <v>3</v>
      </c>
      <c r="AK49" s="34">
        <v>0</v>
      </c>
      <c r="AL49" s="34">
        <v>2</v>
      </c>
      <c r="AM49" s="34">
        <v>0</v>
      </c>
      <c r="AN49" s="34">
        <v>0</v>
      </c>
      <c r="AT49" s="48">
        <v>1</v>
      </c>
      <c r="AU49" s="49">
        <v>3</v>
      </c>
      <c r="AV49" s="1" t="s">
        <v>5</v>
      </c>
      <c r="AW49" s="11">
        <v>7</v>
      </c>
      <c r="AX49" s="11">
        <v>9</v>
      </c>
      <c r="AY49" s="11">
        <v>6</v>
      </c>
      <c r="AZ49" s="11">
        <v>2</v>
      </c>
      <c r="BA49" s="11">
        <v>9</v>
      </c>
      <c r="BB49" s="1" t="s">
        <v>5</v>
      </c>
      <c r="BC49" s="50">
        <v>-1</v>
      </c>
      <c r="BD49" s="1" t="s">
        <v>5</v>
      </c>
      <c r="BE49" s="11">
        <v>-7</v>
      </c>
      <c r="BF49" s="11">
        <v>-9</v>
      </c>
      <c r="BG49" s="11">
        <v>-6</v>
      </c>
      <c r="BH49" s="11">
        <v>-2</v>
      </c>
      <c r="BI49" s="11">
        <v>-9</v>
      </c>
      <c r="BO49" s="11">
        <v>74</v>
      </c>
      <c r="BP49" s="11">
        <v>6</v>
      </c>
      <c r="BQ49" s="11">
        <v>51</v>
      </c>
      <c r="BR49" s="11">
        <v>-8</v>
      </c>
      <c r="BS49" s="11">
        <v>6</v>
      </c>
      <c r="BT49" s="1" t="s">
        <v>37</v>
      </c>
      <c r="BU49" s="11">
        <v>-99</v>
      </c>
      <c r="BV49" s="11">
        <v>-99</v>
      </c>
      <c r="BW49" s="11">
        <v>0</v>
      </c>
      <c r="BX49" s="11">
        <v>0</v>
      </c>
      <c r="BY49" s="11">
        <v>0</v>
      </c>
      <c r="BZ49" s="1" t="s">
        <v>5</v>
      </c>
      <c r="CA49" s="11">
        <v>-25</v>
      </c>
      <c r="CB49" s="11">
        <v>-93</v>
      </c>
      <c r="CC49" s="11">
        <v>51</v>
      </c>
      <c r="CD49" s="11">
        <v>-8</v>
      </c>
      <c r="CE49" s="11">
        <v>6</v>
      </c>
      <c r="CG49" s="11">
        <v>5</v>
      </c>
      <c r="CH49" s="11">
        <v>5</v>
      </c>
      <c r="CI49" s="11">
        <v>3</v>
      </c>
      <c r="CJ49" s="11">
        <v>3</v>
      </c>
      <c r="CK49" s="11">
        <v>4</v>
      </c>
      <c r="CL49" s="1" t="s">
        <v>5</v>
      </c>
      <c r="CM49" s="11">
        <v>-100</v>
      </c>
      <c r="CN49" s="11">
        <v>-100</v>
      </c>
      <c r="CO49" s="11">
        <v>-100</v>
      </c>
      <c r="CP49" s="11">
        <v>-100</v>
      </c>
      <c r="CQ49" s="11">
        <v>-100</v>
      </c>
    </row>
    <row r="50" spans="32:95" ht="24" customHeight="1">
      <c r="AJ50" s="35">
        <v>1</v>
      </c>
      <c r="AK50" s="35">
        <v>3</v>
      </c>
      <c r="AL50" s="35">
        <v>1</v>
      </c>
      <c r="AM50" s="35">
        <v>2</v>
      </c>
      <c r="AN50" s="35">
        <v>3</v>
      </c>
      <c r="AT50" s="48">
        <v>2</v>
      </c>
      <c r="AU50" s="49">
        <v>0</v>
      </c>
      <c r="AV50" s="1" t="s">
        <v>5</v>
      </c>
      <c r="AW50" s="11">
        <v>8</v>
      </c>
      <c r="AX50" s="11">
        <v>6</v>
      </c>
      <c r="AY50" s="11">
        <v>6</v>
      </c>
      <c r="AZ50" s="11">
        <v>4</v>
      </c>
      <c r="BA50" s="11">
        <v>6</v>
      </c>
      <c r="BB50" s="1" t="s">
        <v>5</v>
      </c>
      <c r="BC50" s="50">
        <v>2</v>
      </c>
      <c r="BD50" s="1" t="s">
        <v>5</v>
      </c>
      <c r="BE50" s="11">
        <v>16</v>
      </c>
      <c r="BF50" s="11">
        <v>12</v>
      </c>
      <c r="BG50" s="11">
        <v>12</v>
      </c>
      <c r="BH50" s="11">
        <v>8</v>
      </c>
      <c r="BI50" s="11">
        <v>12</v>
      </c>
      <c r="BO50" s="11">
        <v>40</v>
      </c>
      <c r="BP50" s="11">
        <v>8</v>
      </c>
      <c r="BQ50" s="11">
        <v>28</v>
      </c>
      <c r="BR50" s="11">
        <v>0</v>
      </c>
      <c r="BS50" s="11">
        <v>8</v>
      </c>
      <c r="BT50" s="1" t="s">
        <v>37</v>
      </c>
      <c r="BU50" s="11">
        <v>-99</v>
      </c>
      <c r="BV50" s="11">
        <v>-99</v>
      </c>
      <c r="BW50" s="11">
        <v>-99</v>
      </c>
      <c r="BX50" s="11">
        <v>0</v>
      </c>
      <c r="BY50" s="11">
        <v>0</v>
      </c>
      <c r="BZ50" s="1" t="s">
        <v>5</v>
      </c>
      <c r="CA50" s="11">
        <v>-59</v>
      </c>
      <c r="CB50" s="11">
        <v>-91</v>
      </c>
      <c r="CC50" s="11">
        <v>-71</v>
      </c>
      <c r="CD50" s="11">
        <v>0</v>
      </c>
      <c r="CE50" s="11">
        <v>8</v>
      </c>
      <c r="CG50" s="11">
        <v>3</v>
      </c>
      <c r="CH50" s="11">
        <v>4</v>
      </c>
      <c r="CI50" s="11">
        <v>5</v>
      </c>
      <c r="CJ50" s="11">
        <v>1</v>
      </c>
      <c r="CK50" s="11">
        <v>1</v>
      </c>
      <c r="CL50" s="1" t="s">
        <v>5</v>
      </c>
      <c r="CM50" s="11">
        <v>-100</v>
      </c>
      <c r="CN50" s="11">
        <v>-100</v>
      </c>
      <c r="CO50" s="11">
        <v>-100</v>
      </c>
      <c r="CP50" s="11">
        <v>0</v>
      </c>
      <c r="CQ50" s="11">
        <v>0</v>
      </c>
    </row>
    <row r="51" spans="32:95" ht="24" customHeight="1"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T51" s="48">
        <v>4</v>
      </c>
      <c r="AU51" s="49">
        <v>2</v>
      </c>
      <c r="AV51" s="1" t="s">
        <v>5</v>
      </c>
      <c r="AW51" s="12">
        <v>18</v>
      </c>
      <c r="AX51" s="12">
        <v>16</v>
      </c>
      <c r="AY51" s="12">
        <v>14</v>
      </c>
      <c r="AZ51" s="12">
        <v>8</v>
      </c>
      <c r="BA51" s="12">
        <v>16</v>
      </c>
      <c r="BB51" s="1" t="s">
        <v>5</v>
      </c>
      <c r="BC51" s="50">
        <v>3</v>
      </c>
      <c r="BD51" s="1" t="s">
        <v>5</v>
      </c>
      <c r="BE51" s="12">
        <v>54</v>
      </c>
      <c r="BF51" s="12">
        <v>48</v>
      </c>
      <c r="BG51" s="12">
        <v>42</v>
      </c>
      <c r="BH51" s="12">
        <v>24</v>
      </c>
      <c r="BI51" s="12">
        <v>48</v>
      </c>
      <c r="BO51" s="12">
        <v>168</v>
      </c>
      <c r="BP51" s="12">
        <v>48</v>
      </c>
      <c r="BQ51" s="12">
        <v>120</v>
      </c>
      <c r="BR51" s="12">
        <v>0</v>
      </c>
      <c r="BS51" s="12">
        <v>48</v>
      </c>
      <c r="BT51" s="1" t="s">
        <v>37</v>
      </c>
      <c r="BU51" s="12">
        <v>-99</v>
      </c>
      <c r="BV51" s="12">
        <v>-99</v>
      </c>
      <c r="BW51" s="12">
        <v>-99</v>
      </c>
      <c r="BX51" s="12">
        <v>-99</v>
      </c>
      <c r="BY51" s="12">
        <v>0</v>
      </c>
      <c r="BZ51" s="1" t="s">
        <v>5</v>
      </c>
      <c r="CA51" s="12">
        <v>69</v>
      </c>
      <c r="CB51" s="12">
        <v>-51</v>
      </c>
      <c r="CC51" s="12">
        <v>21</v>
      </c>
      <c r="CD51" s="12">
        <v>-99</v>
      </c>
      <c r="CE51" s="12">
        <v>48</v>
      </c>
      <c r="CG51" s="12">
        <v>4</v>
      </c>
      <c r="CH51" s="12">
        <v>3</v>
      </c>
      <c r="CI51" s="12">
        <v>4</v>
      </c>
      <c r="CJ51" s="12">
        <v>5</v>
      </c>
      <c r="CK51" s="12">
        <v>3</v>
      </c>
      <c r="CL51" s="1" t="s">
        <v>5</v>
      </c>
      <c r="CM51" s="12">
        <v>-100</v>
      </c>
      <c r="CN51" s="12">
        <v>-100</v>
      </c>
      <c r="CO51" s="12">
        <v>-100</v>
      </c>
      <c r="CP51" s="12">
        <v>-100</v>
      </c>
      <c r="CQ51" s="12">
        <v>-100</v>
      </c>
    </row>
    <row r="52" spans="32:95" ht="24" customHeight="1">
      <c r="AJ52" s="6" t="s">
        <v>23</v>
      </c>
    </row>
    <row r="53" spans="32:95" ht="24" customHeight="1">
      <c r="AF53" s="38">
        <v>0</v>
      </c>
      <c r="AG53" s="38">
        <v>1</v>
      </c>
      <c r="AH53" s="38">
        <v>1</v>
      </c>
      <c r="AI53" s="1" t="s">
        <v>5</v>
      </c>
      <c r="AJ53" s="13" cm="1">
        <f t="array" ref="AJ53:AN54">MMULT(AF53:AH54,_xlfn.ANCHORARRAY(AJ48))</f>
        <v>4</v>
      </c>
      <c r="AK53" s="13">
        <v>3</v>
      </c>
      <c r="AL53" s="13">
        <v>3</v>
      </c>
      <c r="AM53" s="13">
        <v>2</v>
      </c>
      <c r="AN53" s="13">
        <v>3</v>
      </c>
    </row>
    <row r="54" spans="32:95" ht="24" customHeight="1">
      <c r="AF54" s="38">
        <v>1</v>
      </c>
      <c r="AG54" s="38">
        <v>-1</v>
      </c>
      <c r="AH54" s="38">
        <v>0</v>
      </c>
      <c r="AI54" s="1" t="s">
        <v>5</v>
      </c>
      <c r="AJ54" s="15">
        <v>1</v>
      </c>
      <c r="AK54" s="15">
        <v>2</v>
      </c>
      <c r="AL54" s="15">
        <v>1</v>
      </c>
      <c r="AM54" s="15">
        <v>0</v>
      </c>
      <c r="AN54" s="15">
        <v>2</v>
      </c>
      <c r="AV54" s="6" t="s">
        <v>38</v>
      </c>
      <c r="AW54" s="26" cm="1">
        <f t="array" ref="AW54:BA55">AJ58:AN59</f>
        <v>6</v>
      </c>
      <c r="AX54" s="26">
        <v>-1</v>
      </c>
      <c r="AY54" s="26">
        <v>4</v>
      </c>
      <c r="AZ54" s="26">
        <v>-2</v>
      </c>
      <c r="BA54" s="26">
        <v>-1</v>
      </c>
    </row>
    <row r="55" spans="32:95" ht="24" customHeight="1">
      <c r="AJ55" s="6" t="s">
        <v>39</v>
      </c>
      <c r="AW55" s="28">
        <v>7</v>
      </c>
      <c r="AX55" s="28">
        <v>2</v>
      </c>
      <c r="AY55" s="28">
        <v>5</v>
      </c>
      <c r="AZ55" s="28">
        <v>0</v>
      </c>
      <c r="BA55" s="28">
        <v>2</v>
      </c>
    </row>
    <row r="56" spans="32:95" ht="24" customHeight="1">
      <c r="AF56" s="38">
        <v>0</v>
      </c>
      <c r="AG56" s="38">
        <v>-1</v>
      </c>
      <c r="AH56" s="38">
        <v>1</v>
      </c>
      <c r="AI56" s="1" t="s">
        <v>5</v>
      </c>
      <c r="AJ56" s="37" cm="1">
        <f t="array" ref="AJ56:AN56">MMULT(AF56:AH56,_xlfn.ANCHORARRAY(AJ48))</f>
        <v>-2</v>
      </c>
      <c r="AK56" s="37">
        <v>3</v>
      </c>
      <c r="AL56" s="37">
        <v>-1</v>
      </c>
      <c r="AM56" s="37">
        <v>2</v>
      </c>
      <c r="AN56" s="37">
        <v>3</v>
      </c>
      <c r="AW56" s="1" t="s">
        <v>2</v>
      </c>
      <c r="AX56" s="1" t="s">
        <v>2</v>
      </c>
      <c r="AY56" s="1" t="s">
        <v>2</v>
      </c>
      <c r="AZ56" s="1" t="s">
        <v>2</v>
      </c>
      <c r="BA56" s="1" t="s">
        <v>2</v>
      </c>
    </row>
    <row r="57" spans="32:95" ht="24" customHeight="1">
      <c r="AJ57" s="6" t="s">
        <v>38</v>
      </c>
      <c r="AT57" s="6" t="s">
        <v>26</v>
      </c>
      <c r="AU57" s="6"/>
      <c r="AV57" s="6"/>
      <c r="AW57" s="6" t="s">
        <v>27</v>
      </c>
      <c r="AX57" s="6"/>
      <c r="AY57" s="6"/>
      <c r="AZ57" s="6"/>
      <c r="BA57" s="6"/>
      <c r="BB57" s="6"/>
      <c r="BC57" s="6" t="s">
        <v>40</v>
      </c>
      <c r="BD57" s="6"/>
      <c r="BE57" s="6" t="s">
        <v>41</v>
      </c>
      <c r="BF57" s="6"/>
      <c r="BG57" s="6"/>
    </row>
    <row r="58" spans="32:95" ht="24" customHeight="1">
      <c r="AF58" s="38">
        <v>1</v>
      </c>
      <c r="AG58" s="38">
        <v>1</v>
      </c>
      <c r="AH58" s="38">
        <v>-1</v>
      </c>
      <c r="AI58" s="1" t="s">
        <v>5</v>
      </c>
      <c r="AJ58" s="13" cm="1">
        <f t="array" ref="AJ58:AN59">MMULT(AF58:AH59,_xlfn.ANCHORARRAY(AJ48))</f>
        <v>6</v>
      </c>
      <c r="AK58" s="13">
        <v>-1</v>
      </c>
      <c r="AL58" s="13">
        <v>4</v>
      </c>
      <c r="AM58" s="13">
        <v>-2</v>
      </c>
      <c r="AN58" s="13">
        <v>-1</v>
      </c>
      <c r="AT58" s="48" cm="1">
        <f t="array" ref="AT58:AU62">TRANSPOSE(_xlfn.ANCHORARRAY(AJ44))</f>
        <v>1</v>
      </c>
      <c r="AU58" s="49">
        <v>4</v>
      </c>
      <c r="AV58" s="1" t="s">
        <v>5</v>
      </c>
      <c r="AW58" s="10" cm="1">
        <f t="array" ref="AW58:BA62">MMULT(_xlfn.ANCHORARRAY(AT58),_xlfn.ANCHORARRAY(AW54))</f>
        <v>34</v>
      </c>
      <c r="AX58" s="10">
        <v>7</v>
      </c>
      <c r="AY58" s="10">
        <v>24</v>
      </c>
      <c r="AZ58" s="10">
        <v>-2</v>
      </c>
      <c r="BA58" s="10">
        <v>7</v>
      </c>
      <c r="BB58" s="1" t="s">
        <v>5</v>
      </c>
      <c r="BC58" s="50" cm="1">
        <f t="array" ref="BC58:BC62">TRANSPOSE(AJ61:AN61)</f>
        <v>4</v>
      </c>
      <c r="BD58" s="1" t="s">
        <v>5</v>
      </c>
      <c r="BE58" s="10" cm="1">
        <f t="array" ref="BE58:BI62">_xlfn.ANCHORARRAY(AW58)*_xlfn.ANCHORARRAY(BC58)</f>
        <v>136</v>
      </c>
      <c r="BF58" s="10">
        <v>28</v>
      </c>
      <c r="BG58" s="10">
        <v>96</v>
      </c>
      <c r="BH58" s="10">
        <v>-8</v>
      </c>
      <c r="BI58" s="10">
        <v>28</v>
      </c>
    </row>
    <row r="59" spans="32:95" ht="24" customHeight="1">
      <c r="AF59" s="38">
        <v>1</v>
      </c>
      <c r="AG59" s="38">
        <v>1</v>
      </c>
      <c r="AH59" s="38">
        <v>0</v>
      </c>
      <c r="AI59" s="1" t="s">
        <v>5</v>
      </c>
      <c r="AJ59" s="15">
        <v>7</v>
      </c>
      <c r="AK59" s="15">
        <v>2</v>
      </c>
      <c r="AL59" s="15">
        <v>5</v>
      </c>
      <c r="AM59" s="15">
        <v>0</v>
      </c>
      <c r="AN59" s="15">
        <v>2</v>
      </c>
      <c r="AT59" s="48">
        <v>5</v>
      </c>
      <c r="AU59" s="49">
        <v>2</v>
      </c>
      <c r="AV59" s="1" t="s">
        <v>5</v>
      </c>
      <c r="AW59" s="11">
        <v>44</v>
      </c>
      <c r="AX59" s="11">
        <v>-1</v>
      </c>
      <c r="AY59" s="11">
        <v>30</v>
      </c>
      <c r="AZ59" s="11">
        <v>-10</v>
      </c>
      <c r="BA59" s="11">
        <v>-1</v>
      </c>
      <c r="BB59" s="1" t="s">
        <v>5</v>
      </c>
      <c r="BC59" s="50">
        <v>3</v>
      </c>
      <c r="BD59" s="1" t="s">
        <v>5</v>
      </c>
      <c r="BE59" s="11">
        <v>132</v>
      </c>
      <c r="BF59" s="11">
        <v>-3</v>
      </c>
      <c r="BG59" s="11">
        <v>90</v>
      </c>
      <c r="BH59" s="11">
        <v>-30</v>
      </c>
      <c r="BI59" s="11">
        <v>-3</v>
      </c>
    </row>
    <row r="60" spans="32:95" ht="24" customHeight="1">
      <c r="AJ60" s="6" t="s">
        <v>42</v>
      </c>
      <c r="AT60" s="48">
        <v>1</v>
      </c>
      <c r="AU60" s="49">
        <v>3</v>
      </c>
      <c r="AV60" s="1" t="s">
        <v>5</v>
      </c>
      <c r="AW60" s="11">
        <v>27</v>
      </c>
      <c r="AX60" s="11">
        <v>5</v>
      </c>
      <c r="AY60" s="11">
        <v>19</v>
      </c>
      <c r="AZ60" s="11">
        <v>-2</v>
      </c>
      <c r="BA60" s="11">
        <v>5</v>
      </c>
      <c r="BB60" s="1" t="s">
        <v>5</v>
      </c>
      <c r="BC60" s="50">
        <v>3</v>
      </c>
      <c r="BD60" s="1" t="s">
        <v>5</v>
      </c>
      <c r="BE60" s="11">
        <v>81</v>
      </c>
      <c r="BF60" s="11">
        <v>15</v>
      </c>
      <c r="BG60" s="11">
        <v>57</v>
      </c>
      <c r="BH60" s="11">
        <v>-6</v>
      </c>
      <c r="BI60" s="11">
        <v>15</v>
      </c>
    </row>
    <row r="61" spans="32:95" ht="24" customHeight="1">
      <c r="AF61" s="38">
        <v>0</v>
      </c>
      <c r="AG61" s="38">
        <v>1</v>
      </c>
      <c r="AH61" s="38">
        <v>1</v>
      </c>
      <c r="AI61" s="1" t="s">
        <v>5</v>
      </c>
      <c r="AJ61" s="37" cm="1">
        <f t="array" ref="AJ61:AN61">MMULT(AF61:AH61,_xlfn.ANCHORARRAY(AJ48))</f>
        <v>4</v>
      </c>
      <c r="AK61" s="37">
        <v>3</v>
      </c>
      <c r="AL61" s="37">
        <v>3</v>
      </c>
      <c r="AM61" s="37">
        <v>2</v>
      </c>
      <c r="AN61" s="37">
        <v>3</v>
      </c>
      <c r="AT61" s="48">
        <v>2</v>
      </c>
      <c r="AU61" s="49">
        <v>0</v>
      </c>
      <c r="AV61" s="1" t="s">
        <v>5</v>
      </c>
      <c r="AW61" s="11">
        <v>12</v>
      </c>
      <c r="AX61" s="11">
        <v>-2</v>
      </c>
      <c r="AY61" s="11">
        <v>8</v>
      </c>
      <c r="AZ61" s="11">
        <v>-4</v>
      </c>
      <c r="BA61" s="11">
        <v>-2</v>
      </c>
      <c r="BB61" s="1" t="s">
        <v>5</v>
      </c>
      <c r="BC61" s="50">
        <v>2</v>
      </c>
      <c r="BD61" s="1" t="s">
        <v>5</v>
      </c>
      <c r="BE61" s="11">
        <v>24</v>
      </c>
      <c r="BF61" s="11">
        <v>-4</v>
      </c>
      <c r="BG61" s="11">
        <v>16</v>
      </c>
      <c r="BH61" s="11">
        <v>-8</v>
      </c>
      <c r="BI61" s="11">
        <v>-4</v>
      </c>
    </row>
    <row r="62" spans="32:95" ht="24" customHeight="1">
      <c r="AT62" s="48">
        <v>4</v>
      </c>
      <c r="AU62" s="49">
        <v>2</v>
      </c>
      <c r="AV62" s="1" t="s">
        <v>5</v>
      </c>
      <c r="AW62" s="12">
        <v>38</v>
      </c>
      <c r="AX62" s="12">
        <v>0</v>
      </c>
      <c r="AY62" s="12">
        <v>26</v>
      </c>
      <c r="AZ62" s="12">
        <v>-8</v>
      </c>
      <c r="BA62" s="12">
        <v>0</v>
      </c>
      <c r="BB62" s="1" t="s">
        <v>5</v>
      </c>
      <c r="BC62" s="50">
        <v>3</v>
      </c>
      <c r="BD62" s="1" t="s">
        <v>5</v>
      </c>
      <c r="BE62" s="12">
        <v>114</v>
      </c>
      <c r="BF62" s="12">
        <v>0</v>
      </c>
      <c r="BG62" s="12">
        <v>78</v>
      </c>
      <c r="BH62" s="12">
        <v>-24</v>
      </c>
      <c r="BI62" s="12">
        <v>0</v>
      </c>
    </row>
    <row r="67" spans="20:95" ht="24" customHeight="1">
      <c r="AJ67" s="40" t="s">
        <v>43</v>
      </c>
    </row>
    <row r="68" spans="20:95" ht="24" customHeight="1">
      <c r="AJ68" s="36" cm="1">
        <f t="array" ref="AJ68:AN70">_xlfn.ANCHORARRAY(AJ20)</f>
        <v>3</v>
      </c>
      <c r="AK68" s="36">
        <v>4</v>
      </c>
      <c r="AL68" s="36">
        <v>3</v>
      </c>
      <c r="AM68" s="36">
        <v>2</v>
      </c>
      <c r="AN68" s="36">
        <v>2</v>
      </c>
    </row>
    <row r="69" spans="20:95" ht="24" customHeight="1">
      <c r="AJ69" s="36">
        <v>3</v>
      </c>
      <c r="AK69" s="36">
        <v>2</v>
      </c>
      <c r="AL69" s="36">
        <v>1</v>
      </c>
      <c r="AM69" s="36">
        <v>2</v>
      </c>
      <c r="AN69" s="36">
        <v>0</v>
      </c>
    </row>
    <row r="70" spans="20:95" ht="24" customHeight="1">
      <c r="AJ70" s="36">
        <v>1</v>
      </c>
      <c r="AK70" s="36">
        <v>3</v>
      </c>
      <c r="AL70" s="36">
        <v>1</v>
      </c>
      <c r="AM70" s="36">
        <v>2</v>
      </c>
      <c r="AN70" s="36">
        <v>3</v>
      </c>
    </row>
    <row r="71" spans="20:95" ht="24" customHeight="1"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</row>
    <row r="72" spans="20:95" ht="24" customHeight="1">
      <c r="AF72" s="6" t="s">
        <v>44</v>
      </c>
      <c r="AJ72" s="6" t="s">
        <v>45</v>
      </c>
    </row>
    <row r="73" spans="20:95" ht="24" customHeight="1">
      <c r="AF73" s="38">
        <v>1</v>
      </c>
      <c r="AG73" s="38">
        <v>0</v>
      </c>
      <c r="AH73" s="38">
        <v>0</v>
      </c>
      <c r="AI73" s="1" t="s">
        <v>5</v>
      </c>
      <c r="AJ73" s="13" cm="1">
        <f t="array" ref="AJ73:AN78">MMULT(AF73:AH78,_xlfn.ANCHORARRAY(AJ68))</f>
        <v>3</v>
      </c>
      <c r="AK73" s="13">
        <v>4</v>
      </c>
      <c r="AL73" s="13">
        <v>3</v>
      </c>
      <c r="AM73" s="13">
        <v>2</v>
      </c>
      <c r="AN73" s="13">
        <v>2</v>
      </c>
      <c r="AP73" s="6" t="s">
        <v>46</v>
      </c>
    </row>
    <row r="74" spans="20:95" ht="24" customHeight="1">
      <c r="AF74" s="38">
        <v>0</v>
      </c>
      <c r="AG74" s="38">
        <v>0</v>
      </c>
      <c r="AH74" s="38">
        <v>0</v>
      </c>
      <c r="AI74" s="1" t="s">
        <v>5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</row>
    <row r="75" spans="20:95" ht="24" customHeight="1">
      <c r="AF75" s="38">
        <v>1</v>
      </c>
      <c r="AG75" s="38">
        <v>1</v>
      </c>
      <c r="AH75" s="38">
        <v>0</v>
      </c>
      <c r="AI75" s="1" t="s">
        <v>5</v>
      </c>
      <c r="AJ75" s="14">
        <v>6</v>
      </c>
      <c r="AK75" s="14">
        <v>6</v>
      </c>
      <c r="AL75" s="14">
        <v>4</v>
      </c>
      <c r="AM75" s="14">
        <v>4</v>
      </c>
      <c r="AN75" s="14">
        <v>2</v>
      </c>
    </row>
    <row r="76" spans="20:95" ht="24" customHeight="1">
      <c r="AF76" s="38">
        <v>0</v>
      </c>
      <c r="AG76" s="38">
        <v>0</v>
      </c>
      <c r="AH76" s="38">
        <v>1</v>
      </c>
      <c r="AI76" s="1" t="s">
        <v>5</v>
      </c>
      <c r="AJ76" s="14">
        <v>1</v>
      </c>
      <c r="AK76" s="14">
        <v>3</v>
      </c>
      <c r="AL76" s="14">
        <v>1</v>
      </c>
      <c r="AM76" s="14">
        <v>2</v>
      </c>
      <c r="AN76" s="14">
        <v>3</v>
      </c>
      <c r="BZ76" s="9" t="s">
        <v>47</v>
      </c>
      <c r="CM76" s="9" t="s">
        <v>48</v>
      </c>
    </row>
    <row r="77" spans="20:95" ht="24" customHeight="1">
      <c r="AF77" s="38">
        <v>1</v>
      </c>
      <c r="AG77" s="38">
        <v>1</v>
      </c>
      <c r="AH77" s="38">
        <v>0</v>
      </c>
      <c r="AI77" s="1" t="s">
        <v>5</v>
      </c>
      <c r="AJ77" s="14">
        <v>6</v>
      </c>
      <c r="AK77" s="14">
        <v>6</v>
      </c>
      <c r="AL77" s="14">
        <v>4</v>
      </c>
      <c r="AM77" s="14">
        <v>4</v>
      </c>
      <c r="AN77" s="14">
        <v>2</v>
      </c>
      <c r="BZ77" s="6" t="s">
        <v>49</v>
      </c>
      <c r="CF77" s="41" t="s">
        <v>50</v>
      </c>
      <c r="CM77" t="s">
        <v>51</v>
      </c>
    </row>
    <row r="78" spans="20:95" ht="24" customHeight="1">
      <c r="AF78" s="38">
        <v>0</v>
      </c>
      <c r="AG78" s="38">
        <v>0</v>
      </c>
      <c r="AH78" s="38">
        <v>1</v>
      </c>
      <c r="AI78" s="1" t="s">
        <v>5</v>
      </c>
      <c r="AJ78" s="15">
        <v>1</v>
      </c>
      <c r="AK78" s="15">
        <v>3</v>
      </c>
      <c r="AL78" s="15">
        <v>1</v>
      </c>
      <c r="AM78" s="15">
        <v>2</v>
      </c>
      <c r="AN78" s="15">
        <v>3</v>
      </c>
      <c r="BZ78" s="48" cm="1">
        <f t="array" ref="BZ78:CE82">TRANSPOSE(_xlfn.ANCHORARRAY(AJ73))</f>
        <v>3</v>
      </c>
      <c r="CA78" s="52">
        <v>0</v>
      </c>
      <c r="CB78" s="52">
        <v>6</v>
      </c>
      <c r="CC78" s="52">
        <v>1</v>
      </c>
      <c r="CD78" s="52">
        <v>6</v>
      </c>
      <c r="CE78" s="49">
        <v>1</v>
      </c>
      <c r="CF78" s="42" cm="1">
        <f t="array" ref="CF78:CK82">TRANSPOSE(BR27:BV32)</f>
        <v>-1</v>
      </c>
      <c r="CG78" s="43">
        <v>-1</v>
      </c>
      <c r="CH78" s="43">
        <v>3</v>
      </c>
      <c r="CI78" s="43">
        <v>1</v>
      </c>
      <c r="CJ78" s="43">
        <v>3</v>
      </c>
      <c r="CK78" s="44">
        <v>1</v>
      </c>
      <c r="CM78" s="26" cm="1">
        <f t="array" ref="CM78:CQ81">_xlfn.ANCHORARRAY(AJ80)</f>
        <v>1</v>
      </c>
      <c r="CN78" s="26">
        <v>3</v>
      </c>
      <c r="CO78" s="26">
        <v>1</v>
      </c>
      <c r="CP78" s="26">
        <v>2</v>
      </c>
      <c r="CQ78" s="26">
        <v>3</v>
      </c>
    </row>
    <row r="79" spans="20:95" ht="24" customHeight="1">
      <c r="AF79" s="6" t="s">
        <v>52</v>
      </c>
      <c r="AJ79" s="6" t="s">
        <v>53</v>
      </c>
      <c r="BZ79" s="48">
        <v>4</v>
      </c>
      <c r="CA79" s="52">
        <v>0</v>
      </c>
      <c r="CB79" s="52">
        <v>6</v>
      </c>
      <c r="CC79" s="52">
        <v>3</v>
      </c>
      <c r="CD79" s="52">
        <v>6</v>
      </c>
      <c r="CE79" s="49">
        <v>3</v>
      </c>
      <c r="CF79" s="42">
        <v>-1.142941969615793</v>
      </c>
      <c r="CG79" s="43">
        <v>-0.90137905026685228</v>
      </c>
      <c r="CH79" s="43">
        <v>2.1620309732696352E-2</v>
      </c>
      <c r="CI79" s="43">
        <v>1.9214709848078966</v>
      </c>
      <c r="CJ79" s="43">
        <v>2.0506895251334263</v>
      </c>
      <c r="CK79" s="44">
        <v>2.8183796902673035</v>
      </c>
      <c r="CM79" s="27">
        <v>1</v>
      </c>
      <c r="CN79" s="27">
        <v>3</v>
      </c>
      <c r="CO79" s="27">
        <v>1</v>
      </c>
      <c r="CP79" s="27">
        <v>2</v>
      </c>
      <c r="CQ79" s="27">
        <v>3</v>
      </c>
    </row>
    <row r="80" spans="20:95" ht="24" customHeight="1">
      <c r="T80" s="8"/>
      <c r="AF80" s="38">
        <v>0</v>
      </c>
      <c r="AG80" s="38">
        <v>0</v>
      </c>
      <c r="AH80" s="38">
        <v>1</v>
      </c>
      <c r="AI80" s="1" t="s">
        <v>5</v>
      </c>
      <c r="AJ80" s="13" cm="1">
        <f t="array" ref="AJ80:AN83">MMULT(AF80:AH83,_xlfn.ANCHORARRAY(AJ68))</f>
        <v>1</v>
      </c>
      <c r="AK80" s="13">
        <v>3</v>
      </c>
      <c r="AL80" s="13">
        <v>1</v>
      </c>
      <c r="AM80" s="13">
        <v>2</v>
      </c>
      <c r="AN80" s="13">
        <v>3</v>
      </c>
      <c r="AP80" s="6" t="s">
        <v>54</v>
      </c>
      <c r="BZ80" s="48">
        <v>3</v>
      </c>
      <c r="CA80" s="52">
        <v>0</v>
      </c>
      <c r="CB80" s="52">
        <v>4</v>
      </c>
      <c r="CC80" s="52">
        <v>1</v>
      </c>
      <c r="CD80" s="52">
        <v>4</v>
      </c>
      <c r="CE80" s="49">
        <v>1</v>
      </c>
      <c r="CF80" s="42">
        <v>-0.8</v>
      </c>
      <c r="CG80" s="43">
        <v>-3.1465503226219504</v>
      </c>
      <c r="CH80" s="43">
        <v>0.06</v>
      </c>
      <c r="CI80" s="43">
        <v>1.8185948536513634</v>
      </c>
      <c r="CJ80" s="43">
        <v>0.38218344087398337</v>
      </c>
      <c r="CK80" s="44">
        <v>2.9992561707749843</v>
      </c>
      <c r="CM80" s="27">
        <v>3</v>
      </c>
      <c r="CN80" s="27">
        <v>4</v>
      </c>
      <c r="CO80" s="27">
        <v>3</v>
      </c>
      <c r="CP80" s="27">
        <v>2</v>
      </c>
      <c r="CQ80" s="27">
        <v>2</v>
      </c>
    </row>
    <row r="81" spans="32:95" ht="24" customHeight="1">
      <c r="AF81" s="38">
        <v>0</v>
      </c>
      <c r="AG81" s="38">
        <v>0</v>
      </c>
      <c r="AH81" s="38">
        <v>1</v>
      </c>
      <c r="AI81" s="1" t="s">
        <v>5</v>
      </c>
      <c r="AJ81" s="14">
        <v>1</v>
      </c>
      <c r="AK81" s="14">
        <v>3</v>
      </c>
      <c r="AL81" s="14">
        <v>1</v>
      </c>
      <c r="AM81" s="14">
        <v>2</v>
      </c>
      <c r="AN81" s="14">
        <v>3</v>
      </c>
      <c r="BZ81" s="48">
        <v>2</v>
      </c>
      <c r="CA81" s="52">
        <v>0</v>
      </c>
      <c r="CB81" s="52">
        <v>4</v>
      </c>
      <c r="CC81" s="52">
        <v>2</v>
      </c>
      <c r="CD81" s="52">
        <v>4</v>
      </c>
      <c r="CE81" s="49">
        <v>2</v>
      </c>
      <c r="CF81" s="42">
        <v>-0.14112000805986721</v>
      </c>
      <c r="CG81" s="43">
        <v>-0.48102634755868812</v>
      </c>
      <c r="CH81" s="43">
        <v>-1.4303277347944436</v>
      </c>
      <c r="CI81" s="43">
        <v>-1</v>
      </c>
      <c r="CJ81" s="43">
        <v>-0.9</v>
      </c>
      <c r="CK81" s="44">
        <v>3.0327734794443728E-2</v>
      </c>
      <c r="CM81" s="28">
        <v>4</v>
      </c>
      <c r="CN81" s="28">
        <v>7</v>
      </c>
      <c r="CO81" s="28">
        <v>4</v>
      </c>
      <c r="CP81" s="28">
        <v>4</v>
      </c>
      <c r="CQ81" s="28">
        <v>5</v>
      </c>
    </row>
    <row r="82" spans="32:95" ht="24" customHeight="1">
      <c r="AF82" s="38">
        <v>1</v>
      </c>
      <c r="AG82" s="38">
        <v>0</v>
      </c>
      <c r="AH82" s="38">
        <v>0</v>
      </c>
      <c r="AI82" s="1" t="s">
        <v>5</v>
      </c>
      <c r="AJ82" s="14">
        <v>3</v>
      </c>
      <c r="AK82" s="14">
        <v>4</v>
      </c>
      <c r="AL82" s="14">
        <v>3</v>
      </c>
      <c r="AM82" s="14">
        <v>2</v>
      </c>
      <c r="AN82" s="14">
        <v>2</v>
      </c>
      <c r="BZ82" s="48">
        <v>2</v>
      </c>
      <c r="CA82" s="52">
        <v>0</v>
      </c>
      <c r="CB82" s="52">
        <v>2</v>
      </c>
      <c r="CC82" s="52">
        <v>3</v>
      </c>
      <c r="CD82" s="52">
        <v>2</v>
      </c>
      <c r="CE82" s="49">
        <v>3</v>
      </c>
      <c r="CF82" s="42">
        <v>-2.0999999999999996</v>
      </c>
      <c r="CG82" s="43">
        <v>0.57661213584338256</v>
      </c>
      <c r="CH82" s="43">
        <v>-4</v>
      </c>
      <c r="CI82" s="43">
        <v>-2.2704074859237844</v>
      </c>
      <c r="CJ82" s="43">
        <v>-3.9691530339608456</v>
      </c>
      <c r="CK82" s="44">
        <v>0.17809279956421351</v>
      </c>
      <c r="CM82" s="1" t="s">
        <v>2</v>
      </c>
      <c r="CN82" s="1" t="s">
        <v>2</v>
      </c>
      <c r="CO82" s="1" t="s">
        <v>2</v>
      </c>
      <c r="CP82" s="1" t="s">
        <v>2</v>
      </c>
      <c r="CQ82" s="1" t="s">
        <v>2</v>
      </c>
    </row>
    <row r="83" spans="32:95" ht="24" customHeight="1">
      <c r="AF83" s="38">
        <v>1</v>
      </c>
      <c r="AG83" s="38">
        <v>0</v>
      </c>
      <c r="AH83" s="38">
        <v>1</v>
      </c>
      <c r="AI83" s="1" t="s">
        <v>5</v>
      </c>
      <c r="AJ83" s="15">
        <v>4</v>
      </c>
      <c r="AK83" s="15">
        <v>7</v>
      </c>
      <c r="AL83" s="15">
        <v>4</v>
      </c>
      <c r="AM83" s="15">
        <v>4</v>
      </c>
      <c r="AN83" s="15">
        <v>5</v>
      </c>
      <c r="BZ83" s="1" t="s">
        <v>2</v>
      </c>
      <c r="CA83" s="1" t="s">
        <v>2</v>
      </c>
      <c r="CB83" s="1" t="s">
        <v>2</v>
      </c>
      <c r="CC83" s="1" t="s">
        <v>2</v>
      </c>
      <c r="CD83" s="1" t="s">
        <v>2</v>
      </c>
      <c r="CE83" s="1" t="s">
        <v>2</v>
      </c>
      <c r="CF83" s="1" t="s">
        <v>2</v>
      </c>
      <c r="CG83" s="1" t="s">
        <v>2</v>
      </c>
      <c r="CH83" s="1" t="s">
        <v>2</v>
      </c>
      <c r="CI83" s="1" t="s">
        <v>2</v>
      </c>
      <c r="CJ83" s="1" t="s">
        <v>2</v>
      </c>
      <c r="CK83" s="1" t="s">
        <v>2</v>
      </c>
    </row>
    <row r="85" spans="32:95" ht="24" customHeight="1">
      <c r="AJ85" s="6" t="s">
        <v>35</v>
      </c>
    </row>
    <row r="86" spans="32:95" ht="24" customHeight="1">
      <c r="AJ86" s="33" cm="1">
        <f t="array" ref="AJ86:AN88">_xlfn.ANCHORARRAY(AJ15)</f>
        <v>4</v>
      </c>
      <c r="AK86" s="33">
        <v>2</v>
      </c>
      <c r="AL86" s="33">
        <v>3</v>
      </c>
      <c r="AM86" s="33">
        <v>0</v>
      </c>
      <c r="AN86" s="33">
        <v>2</v>
      </c>
    </row>
    <row r="87" spans="32:95" ht="24" customHeight="1">
      <c r="AJ87" s="34">
        <v>3</v>
      </c>
      <c r="AK87" s="34">
        <v>0</v>
      </c>
      <c r="AL87" s="34">
        <v>2</v>
      </c>
      <c r="AM87" s="34">
        <v>0</v>
      </c>
      <c r="AN87" s="34">
        <v>0</v>
      </c>
      <c r="CL87" s="22" t="s">
        <v>55</v>
      </c>
      <c r="CM87" s="26" cm="1">
        <f t="array" ref="CM87:CQ92">_xlfn.ANCHORARRAY(AJ91)</f>
        <v>3</v>
      </c>
      <c r="CN87" s="26">
        <v>0</v>
      </c>
      <c r="CO87" s="26">
        <v>2</v>
      </c>
      <c r="CP87" s="26">
        <v>0</v>
      </c>
      <c r="CQ87" s="26">
        <v>0</v>
      </c>
    </row>
    <row r="88" spans="32:95" ht="24" customHeight="1">
      <c r="AJ88" s="35">
        <v>1</v>
      </c>
      <c r="AK88" s="35">
        <v>3</v>
      </c>
      <c r="AL88" s="35">
        <v>1</v>
      </c>
      <c r="AM88" s="35">
        <v>2</v>
      </c>
      <c r="AN88" s="35">
        <v>3</v>
      </c>
      <c r="CM88" s="27">
        <v>3</v>
      </c>
      <c r="CN88" s="27">
        <v>0</v>
      </c>
      <c r="CO88" s="27">
        <v>2</v>
      </c>
      <c r="CP88" s="27">
        <v>0</v>
      </c>
      <c r="CQ88" s="27">
        <v>0</v>
      </c>
    </row>
    <row r="89" spans="32:95" ht="24" customHeight="1"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CM89" s="27">
        <v>1</v>
      </c>
      <c r="CN89" s="27">
        <v>3</v>
      </c>
      <c r="CO89" s="27">
        <v>1</v>
      </c>
      <c r="CP89" s="27">
        <v>2</v>
      </c>
      <c r="CQ89" s="27">
        <v>3</v>
      </c>
    </row>
    <row r="90" spans="32:95" ht="24" customHeight="1">
      <c r="AF90" s="6" t="s">
        <v>56</v>
      </c>
      <c r="AJ90" s="6" t="s">
        <v>57</v>
      </c>
      <c r="CM90" s="27">
        <v>4</v>
      </c>
      <c r="CN90" s="27">
        <v>2</v>
      </c>
      <c r="CO90" s="27">
        <v>3</v>
      </c>
      <c r="CP90" s="27">
        <v>0</v>
      </c>
      <c r="CQ90" s="27">
        <v>2</v>
      </c>
    </row>
    <row r="91" spans="32:95" ht="24" customHeight="1">
      <c r="AF91" s="38">
        <v>0</v>
      </c>
      <c r="AG91" s="38">
        <v>1</v>
      </c>
      <c r="AH91" s="38">
        <v>0</v>
      </c>
      <c r="AI91" s="1" t="s">
        <v>5</v>
      </c>
      <c r="AJ91" s="13" cm="1">
        <f t="array" ref="AJ91:AN96">MMULT(AF91:AH96,_xlfn.ANCHORARRAY(AJ86))</f>
        <v>3</v>
      </c>
      <c r="AK91" s="13">
        <v>0</v>
      </c>
      <c r="AL91" s="13">
        <v>2</v>
      </c>
      <c r="AM91" s="13">
        <v>0</v>
      </c>
      <c r="AN91" s="13">
        <v>0</v>
      </c>
      <c r="CM91" s="27">
        <v>7</v>
      </c>
      <c r="CN91" s="27">
        <v>2</v>
      </c>
      <c r="CO91" s="27">
        <v>5</v>
      </c>
      <c r="CP91" s="27">
        <v>0</v>
      </c>
      <c r="CQ91" s="27">
        <v>2</v>
      </c>
    </row>
    <row r="92" spans="32:95" ht="24" customHeight="1">
      <c r="AF92" s="38">
        <v>0</v>
      </c>
      <c r="AG92" s="38">
        <v>1</v>
      </c>
      <c r="AH92" s="38">
        <v>0</v>
      </c>
      <c r="AJ92" s="14">
        <v>3</v>
      </c>
      <c r="AK92" s="14">
        <v>0</v>
      </c>
      <c r="AL92" s="14">
        <v>2</v>
      </c>
      <c r="AM92" s="14">
        <v>0</v>
      </c>
      <c r="AN92" s="14">
        <v>0</v>
      </c>
      <c r="CM92" s="28">
        <v>5</v>
      </c>
      <c r="CN92" s="28">
        <v>5</v>
      </c>
      <c r="CO92" s="28">
        <v>4</v>
      </c>
      <c r="CP92" s="28">
        <v>2</v>
      </c>
      <c r="CQ92" s="28">
        <v>5</v>
      </c>
    </row>
    <row r="93" spans="32:95" ht="24" customHeight="1">
      <c r="AF93" s="38">
        <v>0</v>
      </c>
      <c r="AG93" s="38">
        <v>0</v>
      </c>
      <c r="AH93" s="38">
        <v>1</v>
      </c>
      <c r="AJ93" s="14">
        <v>1</v>
      </c>
      <c r="AK93" s="14">
        <v>3</v>
      </c>
      <c r="AL93" s="14">
        <v>1</v>
      </c>
      <c r="AM93" s="14">
        <v>2</v>
      </c>
      <c r="AN93" s="14">
        <v>3</v>
      </c>
      <c r="CL93" s="22" t="s">
        <v>58</v>
      </c>
      <c r="CM93" s="30" cm="1">
        <f t="array" ref="CM93:CQ98">BR99:BV104</f>
        <v>4</v>
      </c>
      <c r="CN93" s="30">
        <v>-2.5873549240394826</v>
      </c>
      <c r="CO93" s="30">
        <v>-4.837189707302727</v>
      </c>
      <c r="CP93" s="30">
        <v>-2.2822400161197343</v>
      </c>
      <c r="CQ93" s="30">
        <v>1.6840124765396416</v>
      </c>
    </row>
    <row r="94" spans="32:95" ht="24" customHeight="1">
      <c r="AF94" s="38">
        <v>1</v>
      </c>
      <c r="AG94" s="38">
        <v>0</v>
      </c>
      <c r="AH94" s="38">
        <v>0</v>
      </c>
      <c r="AI94" s="1" t="s">
        <v>5</v>
      </c>
      <c r="AJ94" s="14">
        <v>4</v>
      </c>
      <c r="AK94" s="14">
        <v>2</v>
      </c>
      <c r="AL94" s="14">
        <v>3</v>
      </c>
      <c r="AM94" s="14">
        <v>0</v>
      </c>
      <c r="AN94" s="14">
        <v>2</v>
      </c>
      <c r="CM94" s="31">
        <v>5</v>
      </c>
      <c r="CN94" s="31">
        <v>1.6586209497331479</v>
      </c>
      <c r="CO94" s="31">
        <v>-1.7821834408739834</v>
      </c>
      <c r="CP94" s="31">
        <v>-1.8</v>
      </c>
      <c r="CQ94" s="31">
        <v>-3.7616939320783089</v>
      </c>
    </row>
    <row r="95" spans="32:95" ht="24" customHeight="1">
      <c r="AF95" s="38">
        <v>1</v>
      </c>
      <c r="AG95" s="38">
        <v>1</v>
      </c>
      <c r="AH95" s="38">
        <v>0</v>
      </c>
      <c r="AI95" s="1" t="s">
        <v>5</v>
      </c>
      <c r="AJ95" s="14">
        <v>7</v>
      </c>
      <c r="AK95" s="14">
        <v>2</v>
      </c>
      <c r="AL95" s="14">
        <v>5</v>
      </c>
      <c r="AM95" s="14">
        <v>0</v>
      </c>
      <c r="AN95" s="14">
        <v>2</v>
      </c>
      <c r="CL95" s="2"/>
      <c r="CM95" s="31">
        <v>-1</v>
      </c>
      <c r="CN95" s="31">
        <v>-3.5175695354009555</v>
      </c>
      <c r="CO95" s="31">
        <v>-3.0192561707749843</v>
      </c>
      <c r="CP95" s="31">
        <v>-1.4606554695888874</v>
      </c>
      <c r="CQ95" s="31">
        <v>1.8664304003268399</v>
      </c>
    </row>
    <row r="96" spans="32:95" ht="24" customHeight="1">
      <c r="AF96" s="38">
        <v>1</v>
      </c>
      <c r="AG96" s="38">
        <v>0</v>
      </c>
      <c r="AH96" s="38">
        <v>1</v>
      </c>
      <c r="AI96" s="1" t="s">
        <v>5</v>
      </c>
      <c r="AJ96" s="15">
        <v>5</v>
      </c>
      <c r="AK96" s="15">
        <v>5</v>
      </c>
      <c r="AL96" s="15">
        <v>4</v>
      </c>
      <c r="AM96" s="15">
        <v>2</v>
      </c>
      <c r="AN96" s="15">
        <v>5</v>
      </c>
      <c r="CL96" s="2"/>
      <c r="CM96" s="31">
        <v>5</v>
      </c>
      <c r="CN96" s="31">
        <v>5.2244129544236895</v>
      </c>
      <c r="CO96" s="31">
        <v>1.1278922804770448</v>
      </c>
      <c r="CP96" s="31">
        <v>-1.7177599838802655</v>
      </c>
      <c r="CQ96" s="31">
        <v>-5.7704074859237844</v>
      </c>
    </row>
    <row r="97" spans="32:101" ht="24" customHeight="1">
      <c r="CM97" s="31">
        <v>1</v>
      </c>
      <c r="CN97" s="31">
        <v>5.1334476256671309</v>
      </c>
      <c r="CO97" s="31">
        <v>3.7287337634959337</v>
      </c>
      <c r="CP97" s="31">
        <v>0.96205269511737623</v>
      </c>
      <c r="CQ97" s="31">
        <v>-3.6457651698042284</v>
      </c>
    </row>
    <row r="98" spans="32:101" ht="24" customHeight="1">
      <c r="AF98" s="6" t="s">
        <v>59</v>
      </c>
      <c r="AJ98" s="6" t="s">
        <v>60</v>
      </c>
      <c r="AR98" s="6" t="s">
        <v>61</v>
      </c>
      <c r="BK98" s="6" t="s">
        <v>10</v>
      </c>
      <c r="BR98" s="6" t="s">
        <v>62</v>
      </c>
      <c r="CM98" s="32">
        <v>4</v>
      </c>
      <c r="CN98" s="32">
        <v>0.73162030973269632</v>
      </c>
      <c r="CO98" s="32">
        <v>-0.93975205692499464</v>
      </c>
      <c r="CP98" s="32">
        <v>-1.4</v>
      </c>
      <c r="CQ98" s="32">
        <v>-3.0890463997821067</v>
      </c>
    </row>
    <row r="99" spans="32:101" ht="24" customHeight="1">
      <c r="AF99" s="38">
        <v>0</v>
      </c>
      <c r="AG99" s="38">
        <v>1</v>
      </c>
      <c r="AH99" s="38">
        <v>1</v>
      </c>
      <c r="AI99" s="1" t="s">
        <v>5</v>
      </c>
      <c r="AJ99" s="13" cm="1">
        <f t="array" ref="AJ99:AN104">MMULT(AF99:AH104,_xlfn.ANCHORARRAY(AJ86))</f>
        <v>4</v>
      </c>
      <c r="AK99" s="13">
        <v>3</v>
      </c>
      <c r="AL99" s="13">
        <v>3</v>
      </c>
      <c r="AM99" s="13">
        <v>2</v>
      </c>
      <c r="AN99" s="13">
        <v>3</v>
      </c>
      <c r="AO99" s="22" t="s">
        <v>13</v>
      </c>
      <c r="AP99" s="1" t="s">
        <v>5</v>
      </c>
      <c r="AQ99" s="22" t="s">
        <v>13</v>
      </c>
      <c r="AR99" s="26" cm="1">
        <f t="array" ref="AR99:AV104">_xlfn.ANCHORARRAY(AJ99)</f>
        <v>4</v>
      </c>
      <c r="AS99" s="26">
        <v>3</v>
      </c>
      <c r="AT99" s="26">
        <v>3</v>
      </c>
      <c r="AU99" s="26">
        <v>2</v>
      </c>
      <c r="AV99" s="26">
        <v>3</v>
      </c>
      <c r="AW99" s="1" t="s">
        <v>14</v>
      </c>
      <c r="AX99" t="s">
        <v>15</v>
      </c>
      <c r="AY99">
        <v>1</v>
      </c>
      <c r="AZ99">
        <v>0.54</v>
      </c>
      <c r="BA99">
        <v>-0.4</v>
      </c>
      <c r="BB99">
        <v>-1</v>
      </c>
      <c r="BC99">
        <v>-0.7</v>
      </c>
      <c r="BD99" s="1" t="s">
        <v>5</v>
      </c>
      <c r="BE99" s="10" cm="1">
        <f t="array" ref="BE99:BI110">AR99:AV110*AY99:BC110</f>
        <v>4</v>
      </c>
      <c r="BF99" s="10">
        <v>1.62</v>
      </c>
      <c r="BG99" s="10">
        <v>-1.2000000000000002</v>
      </c>
      <c r="BH99" s="10">
        <v>-2</v>
      </c>
      <c r="BI99" s="10">
        <v>-2.0999999999999996</v>
      </c>
      <c r="BK99" s="10" cm="1">
        <f t="array" ref="BK99:BO101">BE99:BI101+BE102:BI104</f>
        <v>4</v>
      </c>
      <c r="BL99" s="10">
        <v>-2.5873549240394826</v>
      </c>
      <c r="BM99" s="10">
        <v>-4.837189707302727</v>
      </c>
      <c r="BN99" s="10">
        <v>-2.2822400161197343</v>
      </c>
      <c r="BO99" s="10">
        <v>1.6840124765396416</v>
      </c>
      <c r="BQ99" s="22" t="s">
        <v>16</v>
      </c>
      <c r="BR99" s="30" cm="1">
        <f t="array" ref="BR99:BV101">_xlfn.ANCHORARRAY(BK99)</f>
        <v>4</v>
      </c>
      <c r="BS99" s="30">
        <v>-2.5873549240394826</v>
      </c>
      <c r="BT99" s="30">
        <v>-4.837189707302727</v>
      </c>
      <c r="BU99" s="30">
        <v>-2.2822400161197343</v>
      </c>
      <c r="BV99" s="30">
        <v>1.6840124765396416</v>
      </c>
      <c r="CM99" s="1" t="s">
        <v>2</v>
      </c>
      <c r="CN99" s="1" t="s">
        <v>2</v>
      </c>
      <c r="CO99" s="1" t="s">
        <v>2</v>
      </c>
      <c r="CP99" s="1" t="s">
        <v>2</v>
      </c>
      <c r="CQ99" s="1" t="s">
        <v>2</v>
      </c>
    </row>
    <row r="100" spans="32:101" ht="24" customHeight="1">
      <c r="AF100" s="38">
        <v>1</v>
      </c>
      <c r="AG100" s="38">
        <v>0</v>
      </c>
      <c r="AH100" s="38">
        <v>1</v>
      </c>
      <c r="AI100" s="1" t="s">
        <v>5</v>
      </c>
      <c r="AJ100" s="14">
        <v>5</v>
      </c>
      <c r="AK100" s="14">
        <v>5</v>
      </c>
      <c r="AL100" s="14">
        <v>4</v>
      </c>
      <c r="AM100" s="14">
        <v>2</v>
      </c>
      <c r="AN100" s="14">
        <v>5</v>
      </c>
      <c r="AO100" s="22"/>
      <c r="AP100" s="1" t="s">
        <v>5</v>
      </c>
      <c r="AQ100" s="22"/>
      <c r="AR100" s="27">
        <v>5</v>
      </c>
      <c r="AS100" s="27">
        <v>5</v>
      </c>
      <c r="AT100" s="27">
        <v>4</v>
      </c>
      <c r="AU100" s="27">
        <v>2</v>
      </c>
      <c r="AV100" s="27">
        <v>5</v>
      </c>
      <c r="AW100" s="1" t="s">
        <v>14</v>
      </c>
      <c r="AY100">
        <v>1</v>
      </c>
      <c r="AZ100">
        <v>0.64</v>
      </c>
      <c r="BA100">
        <v>-0.2</v>
      </c>
      <c r="BB100">
        <v>-0.9</v>
      </c>
      <c r="BC100">
        <v>-0.9</v>
      </c>
      <c r="BD100" s="1" t="s">
        <v>5</v>
      </c>
      <c r="BE100" s="11">
        <v>5</v>
      </c>
      <c r="BF100" s="11">
        <v>3.2</v>
      </c>
      <c r="BG100" s="11">
        <v>-0.8</v>
      </c>
      <c r="BH100" s="11">
        <v>-1.8</v>
      </c>
      <c r="BI100" s="11">
        <v>-4.5</v>
      </c>
      <c r="BK100" s="11">
        <v>5</v>
      </c>
      <c r="BL100" s="11">
        <v>1.6586209497331479</v>
      </c>
      <c r="BM100" s="11">
        <v>-1.7821834408739834</v>
      </c>
      <c r="BN100" s="11">
        <v>-1.8</v>
      </c>
      <c r="BO100" s="11">
        <v>-3.7616939320783089</v>
      </c>
      <c r="BQ100" s="2"/>
      <c r="BR100" s="31">
        <v>5</v>
      </c>
      <c r="BS100" s="31">
        <v>1.6586209497331479</v>
      </c>
      <c r="BT100" s="31">
        <v>-1.7821834408739834</v>
      </c>
      <c r="BU100" s="31">
        <v>-1.8</v>
      </c>
      <c r="BV100" s="31">
        <v>-3.7616939320783089</v>
      </c>
      <c r="BZ100" t="s">
        <v>63</v>
      </c>
      <c r="CF100" s="5" t="s">
        <v>64</v>
      </c>
      <c r="CM100" t="s">
        <v>65</v>
      </c>
      <c r="CS100" t="s">
        <v>66</v>
      </c>
    </row>
    <row r="101" spans="32:101" ht="24" customHeight="1">
      <c r="AF101" s="38">
        <v>-1</v>
      </c>
      <c r="AG101" s="38">
        <v>1</v>
      </c>
      <c r="AH101" s="38">
        <v>0</v>
      </c>
      <c r="AI101" s="1" t="s">
        <v>5</v>
      </c>
      <c r="AJ101" s="14">
        <v>-1</v>
      </c>
      <c r="AK101" s="14">
        <v>-2</v>
      </c>
      <c r="AL101" s="14">
        <v>-1</v>
      </c>
      <c r="AM101" s="14">
        <v>0</v>
      </c>
      <c r="AN101" s="14">
        <v>-2</v>
      </c>
      <c r="AO101" s="6"/>
      <c r="AP101" s="1" t="s">
        <v>5</v>
      </c>
      <c r="AQ101" s="6"/>
      <c r="AR101" s="28">
        <v>-1</v>
      </c>
      <c r="AS101" s="28">
        <v>-2</v>
      </c>
      <c r="AT101" s="28">
        <v>-1</v>
      </c>
      <c r="AU101" s="28">
        <v>0</v>
      </c>
      <c r="AV101" s="28">
        <v>-2</v>
      </c>
      <c r="AW101" s="1" t="s">
        <v>14</v>
      </c>
      <c r="AY101">
        <v>1</v>
      </c>
      <c r="AZ101">
        <v>0.71</v>
      </c>
      <c r="BA101">
        <v>0.02</v>
      </c>
      <c r="BB101">
        <v>-0.7</v>
      </c>
      <c r="BC101">
        <v>-1</v>
      </c>
      <c r="BD101" s="1" t="s">
        <v>5</v>
      </c>
      <c r="BE101" s="12">
        <v>-1</v>
      </c>
      <c r="BF101" s="12">
        <v>-1.42</v>
      </c>
      <c r="BG101" s="12">
        <v>-0.02</v>
      </c>
      <c r="BH101" s="12">
        <v>0</v>
      </c>
      <c r="BI101" s="12">
        <v>2</v>
      </c>
      <c r="BK101" s="12">
        <v>-1</v>
      </c>
      <c r="BL101" s="12">
        <v>-3.5175695354009555</v>
      </c>
      <c r="BM101" s="12">
        <v>-3.0192561707749843</v>
      </c>
      <c r="BN101" s="12">
        <v>-1.4606554695888874</v>
      </c>
      <c r="BO101" s="12">
        <v>1.8664304003268399</v>
      </c>
      <c r="BQ101" s="2"/>
      <c r="BR101" s="32">
        <v>-1</v>
      </c>
      <c r="BS101" s="32">
        <v>-3.5175695354009555</v>
      </c>
      <c r="BT101" s="32">
        <v>-3.0192561707749843</v>
      </c>
      <c r="BU101" s="32">
        <v>-1.4606554695888874</v>
      </c>
      <c r="BV101" s="32">
        <v>1.8664304003268399</v>
      </c>
      <c r="BZ101" s="48" cm="1">
        <f t="array" ref="BZ101:CK105">BZ78:CK82</f>
        <v>3</v>
      </c>
      <c r="CA101" s="52">
        <v>0</v>
      </c>
      <c r="CB101" s="52">
        <v>6</v>
      </c>
      <c r="CC101" s="52">
        <v>1</v>
      </c>
      <c r="CD101" s="52">
        <v>6</v>
      </c>
      <c r="CE101" s="49">
        <v>1</v>
      </c>
      <c r="CF101" s="42">
        <v>-1</v>
      </c>
      <c r="CG101" s="43">
        <v>-1</v>
      </c>
      <c r="CH101" s="43">
        <v>3</v>
      </c>
      <c r="CI101" s="43">
        <v>1</v>
      </c>
      <c r="CJ101" s="43">
        <v>3</v>
      </c>
      <c r="CK101" s="44">
        <v>1</v>
      </c>
      <c r="CL101" s="1" t="s">
        <v>5</v>
      </c>
      <c r="CM101" s="10" cm="1">
        <f t="array" ref="CM101:CQ105">MMULT(_xlfn.ANCHORARRAY(BZ101),CM87:CQ98)/SQRT(12)+_xlfn.ANCHORARRAY(CM47)</f>
        <v>19.05255888325765</v>
      </c>
      <c r="CN101" s="10">
        <v>14.067832564814452</v>
      </c>
      <c r="CO101" s="10">
        <v>16.724667052697793</v>
      </c>
      <c r="CP101" s="10">
        <v>3.8880706183583866</v>
      </c>
      <c r="CQ101" s="10">
        <v>7.1823017987338158</v>
      </c>
      <c r="CR101" s="1" t="s">
        <v>5</v>
      </c>
      <c r="CS101" s="10" cm="1">
        <f t="array" ref="CS101:CS105">_xlfn.LET(_xlpm.e,EXP(CM101:CM105), _xlpm.e/SUM(_xlpm.e))</f>
        <v>4.2971762303381157E-5</v>
      </c>
      <c r="CT101" s="10" cm="1">
        <f t="array" ref="CT101:CT105">_xlfn.LET(_xlpm.e,EXP(CN101:CN105), _xlpm.e/SUM(_xlpm.e))</f>
        <v>5.0685867425999116E-4</v>
      </c>
      <c r="CU101" s="10" cm="1">
        <f t="array" ref="CU101:CU105">_xlfn.LET(_xlpm.e,EXP(CO101:CO105), _xlpm.e/SUM(_xlpm.e))</f>
        <v>2.1321856952253313E-3</v>
      </c>
      <c r="CV101" s="10" cm="1">
        <f t="array" ref="CV101:CV105">_xlfn.LET(_xlpm.e,EXP(CP101:CP105), _xlpm.e/SUM(_xlpm.e))</f>
        <v>0.31957469356090806</v>
      </c>
      <c r="CW101" s="10" cm="1">
        <f t="array" ref="CW101:CW105">_xlfn.LET(_xlpm.e,EXP(CQ101:CQ105), _xlpm.e/SUM(_xlpm.e))</f>
        <v>7.3792459110897293E-3</v>
      </c>
    </row>
    <row r="102" spans="32:101" ht="24" customHeight="1">
      <c r="AF102" s="38">
        <v>1</v>
      </c>
      <c r="AG102" s="38">
        <v>0</v>
      </c>
      <c r="AH102" s="38">
        <v>1</v>
      </c>
      <c r="AI102" s="1" t="s">
        <v>5</v>
      </c>
      <c r="AJ102" s="14">
        <v>5</v>
      </c>
      <c r="AK102" s="14">
        <v>5</v>
      </c>
      <c r="AL102" s="14">
        <v>4</v>
      </c>
      <c r="AM102" s="14">
        <v>2</v>
      </c>
      <c r="AN102" s="14">
        <v>5</v>
      </c>
      <c r="AO102" s="22" t="s">
        <v>17</v>
      </c>
      <c r="AP102" s="1" t="s">
        <v>5</v>
      </c>
      <c r="AQ102" s="22" t="s">
        <v>17</v>
      </c>
      <c r="AR102" s="26">
        <v>5</v>
      </c>
      <c r="AS102" s="26">
        <v>5</v>
      </c>
      <c r="AT102" s="26">
        <v>4</v>
      </c>
      <c r="AU102" s="26">
        <v>2</v>
      </c>
      <c r="AV102" s="26">
        <v>5</v>
      </c>
      <c r="AW102" s="1" t="s">
        <v>14</v>
      </c>
      <c r="AX102" s="4" t="s">
        <v>18</v>
      </c>
      <c r="AY102">
        <v>0</v>
      </c>
      <c r="AZ102">
        <v>-0.8414709848078965</v>
      </c>
      <c r="BA102">
        <v>-0.90929742682568171</v>
      </c>
      <c r="BB102">
        <v>-0.14112000805986721</v>
      </c>
      <c r="BC102">
        <v>0.7568024953079282</v>
      </c>
      <c r="BD102" s="1" t="s">
        <v>5</v>
      </c>
      <c r="BE102" s="10">
        <v>0</v>
      </c>
      <c r="BF102" s="10">
        <v>-4.2073549240394827</v>
      </c>
      <c r="BG102" s="10">
        <v>-3.6371897073027268</v>
      </c>
      <c r="BH102" s="10">
        <v>-0.28224001611973443</v>
      </c>
      <c r="BI102" s="10">
        <v>3.7840124765396412</v>
      </c>
      <c r="BQ102" s="22" t="s">
        <v>19</v>
      </c>
      <c r="BR102" s="30" cm="1">
        <f t="array" ref="BR102:BV104">_xlfn.ANCHORARRAY(BK105)</f>
        <v>5</v>
      </c>
      <c r="BS102" s="30">
        <v>5.2244129544236895</v>
      </c>
      <c r="BT102" s="30">
        <v>1.1278922804770448</v>
      </c>
      <c r="BU102" s="30">
        <v>-1.7177599838802655</v>
      </c>
      <c r="BV102" s="30">
        <v>-5.7704074859237844</v>
      </c>
      <c r="BZ102" s="48">
        <v>4</v>
      </c>
      <c r="CA102" s="52">
        <v>0</v>
      </c>
      <c r="CB102" s="52">
        <v>6</v>
      </c>
      <c r="CC102" s="52">
        <v>3</v>
      </c>
      <c r="CD102" s="52">
        <v>6</v>
      </c>
      <c r="CE102" s="49">
        <v>3</v>
      </c>
      <c r="CF102" s="42">
        <v>-1.142941969615793</v>
      </c>
      <c r="CG102" s="43">
        <v>-0.90137905026685228</v>
      </c>
      <c r="CH102" s="43">
        <v>2.1620309732696352E-2</v>
      </c>
      <c r="CI102" s="43">
        <v>1.9214709848078966</v>
      </c>
      <c r="CJ102" s="43">
        <v>2.0506895251334263</v>
      </c>
      <c r="CK102" s="44">
        <v>2.8183796902673035</v>
      </c>
      <c r="CL102" s="1" t="s">
        <v>5</v>
      </c>
      <c r="CM102" s="11">
        <v>29.107483259177517</v>
      </c>
      <c r="CN102" s="11">
        <v>21.654603919868826</v>
      </c>
      <c r="CO102" s="11">
        <v>22.873140268055995</v>
      </c>
      <c r="CP102" s="11">
        <v>-95.113918095748119</v>
      </c>
      <c r="CQ102" s="11">
        <v>-92.71492856179691</v>
      </c>
      <c r="CR102" s="1" t="s">
        <v>5</v>
      </c>
      <c r="CS102" s="11">
        <v>0.99995702823769661</v>
      </c>
      <c r="CT102" s="11">
        <v>0.99949314132574008</v>
      </c>
      <c r="CU102" s="11">
        <v>0.99786781430477456</v>
      </c>
      <c r="CV102" s="11">
        <v>3.2251876280874066E-44</v>
      </c>
      <c r="CW102" s="11">
        <v>3.0422582697623541E-46</v>
      </c>
    </row>
    <row r="103" spans="32:101" ht="24" customHeight="1">
      <c r="AF103" s="38">
        <v>1</v>
      </c>
      <c r="AG103" s="38">
        <v>-1</v>
      </c>
      <c r="AH103" s="38">
        <v>0</v>
      </c>
      <c r="AJ103" s="14">
        <v>1</v>
      </c>
      <c r="AK103" s="14">
        <v>2</v>
      </c>
      <c r="AL103" s="14">
        <v>1</v>
      </c>
      <c r="AM103" s="14">
        <v>0</v>
      </c>
      <c r="AN103" s="14">
        <v>2</v>
      </c>
      <c r="AP103" s="1" t="s">
        <v>5</v>
      </c>
      <c r="AQ103" s="6"/>
      <c r="AR103" s="27">
        <v>1</v>
      </c>
      <c r="AS103" s="27">
        <v>2</v>
      </c>
      <c r="AT103" s="27">
        <v>1</v>
      </c>
      <c r="AU103" s="27">
        <v>0</v>
      </c>
      <c r="AV103" s="27">
        <v>2</v>
      </c>
      <c r="AW103" s="1"/>
      <c r="AY103">
        <v>0</v>
      </c>
      <c r="AZ103">
        <v>-0.77068952513342615</v>
      </c>
      <c r="BA103">
        <v>-0.98218344087398346</v>
      </c>
      <c r="BB103">
        <v>-0.48102634755868812</v>
      </c>
      <c r="BC103">
        <v>0.36915303396084564</v>
      </c>
      <c r="BD103" s="1" t="s">
        <v>5</v>
      </c>
      <c r="BE103" s="11">
        <v>0</v>
      </c>
      <c r="BF103" s="11">
        <v>-1.5413790502668523</v>
      </c>
      <c r="BG103" s="11">
        <v>-0.98218344087398346</v>
      </c>
      <c r="BH103" s="11">
        <v>0</v>
      </c>
      <c r="BI103" s="11">
        <v>0.73830606792169129</v>
      </c>
      <c r="BR103" s="31">
        <v>1</v>
      </c>
      <c r="BS103" s="31">
        <v>5.1334476256671309</v>
      </c>
      <c r="BT103" s="31">
        <v>3.7287337634959337</v>
      </c>
      <c r="BU103" s="31">
        <v>0.96205269511737623</v>
      </c>
      <c r="BV103" s="31">
        <v>-3.6457651698042284</v>
      </c>
      <c r="BZ103" s="48">
        <v>3</v>
      </c>
      <c r="CA103" s="52">
        <v>0</v>
      </c>
      <c r="CB103" s="52">
        <v>4</v>
      </c>
      <c r="CC103" s="52">
        <v>1</v>
      </c>
      <c r="CD103" s="52">
        <v>4</v>
      </c>
      <c r="CE103" s="49">
        <v>1</v>
      </c>
      <c r="CF103" s="42">
        <v>-0.8</v>
      </c>
      <c r="CG103" s="43">
        <v>-3.1465503226219504</v>
      </c>
      <c r="CH103" s="43">
        <v>0.06</v>
      </c>
      <c r="CI103" s="43">
        <v>1.8185948536513634</v>
      </c>
      <c r="CJ103" s="43">
        <v>0.38218344087398337</v>
      </c>
      <c r="CK103" s="44">
        <v>2.9992561707749843</v>
      </c>
      <c r="CL103" s="1" t="s">
        <v>5</v>
      </c>
      <c r="CM103" s="11">
        <v>-84.850493256378087</v>
      </c>
      <c r="CN103" s="11">
        <v>-89.233219592159003</v>
      </c>
      <c r="CO103" s="11">
        <v>-86.445545271501572</v>
      </c>
      <c r="CP103" s="11">
        <v>-96.98428137225163</v>
      </c>
      <c r="CQ103" s="11">
        <v>-95.251608926380612</v>
      </c>
      <c r="CR103" s="1" t="s">
        <v>5</v>
      </c>
      <c r="CS103" s="11">
        <v>3.2259747784500546E-50</v>
      </c>
      <c r="CT103" s="11">
        <v>6.9472024788172185E-49</v>
      </c>
      <c r="CU103" s="11">
        <v>3.3309730286878721E-48</v>
      </c>
      <c r="CV103" s="11">
        <v>4.9689718341860644E-45</v>
      </c>
      <c r="CW103" s="11">
        <v>2.4072976707811445E-47</v>
      </c>
    </row>
    <row r="104" spans="32:101" ht="24" customHeight="1" thickBot="1">
      <c r="AF104" s="38">
        <v>0</v>
      </c>
      <c r="AG104" s="38">
        <v>1</v>
      </c>
      <c r="AH104" s="38">
        <v>1</v>
      </c>
      <c r="AJ104" s="15">
        <v>4</v>
      </c>
      <c r="AK104" s="15">
        <v>3</v>
      </c>
      <c r="AL104" s="15">
        <v>3</v>
      </c>
      <c r="AM104" s="15">
        <v>2</v>
      </c>
      <c r="AN104" s="15">
        <v>3</v>
      </c>
      <c r="AP104" s="1" t="s">
        <v>5</v>
      </c>
      <c r="AQ104" s="6"/>
      <c r="AR104" s="28">
        <v>4</v>
      </c>
      <c r="AS104" s="28">
        <v>3</v>
      </c>
      <c r="AT104" s="28">
        <v>3</v>
      </c>
      <c r="AU104" s="28">
        <v>2</v>
      </c>
      <c r="AV104" s="28">
        <v>3</v>
      </c>
      <c r="AW104" s="1" t="s">
        <v>14</v>
      </c>
      <c r="AY104">
        <v>0</v>
      </c>
      <c r="AZ104">
        <v>-0.69918984513365179</v>
      </c>
      <c r="BA104">
        <v>-0.99975205692499469</v>
      </c>
      <c r="BB104">
        <v>-0.73032773479444368</v>
      </c>
      <c r="BC104">
        <v>-4.4523199891053376E-2</v>
      </c>
      <c r="BD104" s="1" t="s">
        <v>5</v>
      </c>
      <c r="BE104" s="25">
        <v>0</v>
      </c>
      <c r="BF104" s="25">
        <v>-2.0975695354009556</v>
      </c>
      <c r="BG104" s="25">
        <v>-2.9992561707749843</v>
      </c>
      <c r="BH104" s="25">
        <v>-1.4606554695888874</v>
      </c>
      <c r="BI104" s="25">
        <v>-0.13356959967316012</v>
      </c>
      <c r="BK104" s="6" t="s">
        <v>20</v>
      </c>
      <c r="BR104" s="32">
        <v>4</v>
      </c>
      <c r="BS104" s="32">
        <v>0.73162030973269632</v>
      </c>
      <c r="BT104" s="32">
        <v>-0.93975205692499464</v>
      </c>
      <c r="BU104" s="32">
        <v>-1.4</v>
      </c>
      <c r="BV104" s="32">
        <v>-3.0890463997821067</v>
      </c>
      <c r="BZ104" s="48">
        <v>2</v>
      </c>
      <c r="CA104" s="52">
        <v>0</v>
      </c>
      <c r="CB104" s="52">
        <v>4</v>
      </c>
      <c r="CC104" s="52">
        <v>2</v>
      </c>
      <c r="CD104" s="52">
        <v>4</v>
      </c>
      <c r="CE104" s="49">
        <v>2</v>
      </c>
      <c r="CF104" s="42">
        <v>-0.14112000805986721</v>
      </c>
      <c r="CG104" s="43">
        <v>-0.48102634755868812</v>
      </c>
      <c r="CH104" s="43">
        <v>-1.4303277347944436</v>
      </c>
      <c r="CI104" s="43">
        <v>-1</v>
      </c>
      <c r="CJ104" s="43">
        <v>-0.9</v>
      </c>
      <c r="CK104" s="44">
        <v>3.0327734794443728E-2</v>
      </c>
      <c r="CL104" s="1" t="s">
        <v>5</v>
      </c>
      <c r="CM104" s="11">
        <v>-85.94670933115701</v>
      </c>
      <c r="CN104" s="11">
        <v>-91.69301590943455</v>
      </c>
      <c r="CO104" s="11">
        <v>-87.487037368350542</v>
      </c>
      <c r="CP104" s="11">
        <v>4.6437976425035954</v>
      </c>
      <c r="CQ104" s="11">
        <v>12.083979017160205</v>
      </c>
      <c r="CR104" s="1" t="s">
        <v>5</v>
      </c>
      <c r="CS104" s="11">
        <v>1.0779047243131438E-50</v>
      </c>
      <c r="CT104" s="11">
        <v>5.9365480805295121E-50</v>
      </c>
      <c r="CU104" s="11">
        <v>1.1755926051531436E-48</v>
      </c>
      <c r="CV104" s="11">
        <v>0.68042530643909194</v>
      </c>
      <c r="CW104" s="11">
        <v>0.99262075408891026</v>
      </c>
    </row>
    <row r="105" spans="32:101" ht="24" customHeight="1" thickTop="1">
      <c r="AQ105" s="22" t="s">
        <v>13</v>
      </c>
      <c r="AR105" s="26" cm="1">
        <f t="array" ref="AR105:AV110">_xlfn.ANCHORARRAY(AJ99)</f>
        <v>4</v>
      </c>
      <c r="AS105" s="26">
        <v>3</v>
      </c>
      <c r="AT105" s="26">
        <v>3</v>
      </c>
      <c r="AU105" s="26">
        <v>2</v>
      </c>
      <c r="AV105" s="26">
        <v>3</v>
      </c>
      <c r="AW105" s="1" t="s">
        <v>14</v>
      </c>
      <c r="AX105" s="4" t="s">
        <v>21</v>
      </c>
      <c r="AY105">
        <v>0</v>
      </c>
      <c r="AZ105">
        <v>0.8414709848078965</v>
      </c>
      <c r="BA105">
        <v>0.90929742682568171</v>
      </c>
      <c r="BB105">
        <v>0.14112000805986721</v>
      </c>
      <c r="BC105">
        <v>-0.7568024953079282</v>
      </c>
      <c r="BD105" s="1" t="s">
        <v>5</v>
      </c>
      <c r="BE105" s="11">
        <v>0</v>
      </c>
      <c r="BF105" s="11">
        <v>2.5244129544236893</v>
      </c>
      <c r="BG105" s="11">
        <v>2.7278922804770449</v>
      </c>
      <c r="BH105" s="11">
        <v>0.28224001611973443</v>
      </c>
      <c r="BI105" s="11">
        <v>-2.2704074859237844</v>
      </c>
      <c r="BK105" s="10" cm="1">
        <f t="array" ref="BK105:BO107">BE105:BI107+BE108:BI110</f>
        <v>5</v>
      </c>
      <c r="BL105" s="10">
        <v>5.2244129544236895</v>
      </c>
      <c r="BM105" s="10">
        <v>1.1278922804770448</v>
      </c>
      <c r="BN105" s="10">
        <v>-1.7177599838802655</v>
      </c>
      <c r="BO105" s="10">
        <v>-5.7704074859237844</v>
      </c>
      <c r="BZ105" s="48">
        <v>2</v>
      </c>
      <c r="CA105" s="52">
        <v>0</v>
      </c>
      <c r="CB105" s="52">
        <v>2</v>
      </c>
      <c r="CC105" s="52">
        <v>3</v>
      </c>
      <c r="CD105" s="52">
        <v>2</v>
      </c>
      <c r="CE105" s="49">
        <v>3</v>
      </c>
      <c r="CF105" s="42">
        <v>-2.0999999999999996</v>
      </c>
      <c r="CG105" s="43">
        <v>0.57661213584338256</v>
      </c>
      <c r="CH105" s="43">
        <v>-4</v>
      </c>
      <c r="CI105" s="43">
        <v>-2.2704074859237844</v>
      </c>
      <c r="CJ105" s="43">
        <v>-3.9691530339608456</v>
      </c>
      <c r="CK105" s="44">
        <v>0.17809279956421351</v>
      </c>
      <c r="CL105" s="1" t="s">
        <v>5</v>
      </c>
      <c r="CM105" s="12">
        <v>-90.510023935141774</v>
      </c>
      <c r="CN105" s="12">
        <v>-94.413150244872611</v>
      </c>
      <c r="CO105" s="12">
        <v>-88.256856782570424</v>
      </c>
      <c r="CP105" s="12">
        <v>-94.391164850314851</v>
      </c>
      <c r="CQ105" s="12">
        <v>-87.052789402657467</v>
      </c>
      <c r="CR105" s="1" t="s">
        <v>5</v>
      </c>
      <c r="CS105" s="12">
        <v>1.123978551153154E-52</v>
      </c>
      <c r="CT105" s="12">
        <v>3.9101611609587245E-51</v>
      </c>
      <c r="CU105" s="12">
        <v>5.4441304357367391E-49</v>
      </c>
      <c r="CV105" s="12">
        <v>6.6442005288424637E-44</v>
      </c>
      <c r="CW105" s="12">
        <v>8.754510599980016E-44</v>
      </c>
    </row>
    <row r="106" spans="32:101" ht="24" customHeight="1">
      <c r="AQ106" s="22"/>
      <c r="AR106" s="27">
        <v>5</v>
      </c>
      <c r="AS106" s="27">
        <v>5</v>
      </c>
      <c r="AT106" s="27">
        <v>4</v>
      </c>
      <c r="AU106" s="27">
        <v>2</v>
      </c>
      <c r="AV106" s="27">
        <v>5</v>
      </c>
      <c r="AW106" s="1" t="s">
        <v>14</v>
      </c>
      <c r="AY106">
        <v>0</v>
      </c>
      <c r="AZ106">
        <v>0.77068952513342615</v>
      </c>
      <c r="BA106">
        <v>0.98218344087398346</v>
      </c>
      <c r="BB106">
        <v>0.48102634755868812</v>
      </c>
      <c r="BC106">
        <v>-0.36915303396084564</v>
      </c>
      <c r="BD106" s="1" t="s">
        <v>5</v>
      </c>
      <c r="BE106" s="11">
        <v>0</v>
      </c>
      <c r="BF106" s="11">
        <v>3.8534476256671306</v>
      </c>
      <c r="BG106" s="11">
        <v>3.9287337634959338</v>
      </c>
      <c r="BH106" s="11">
        <v>0.96205269511737623</v>
      </c>
      <c r="BI106" s="11">
        <v>-1.8457651698042281</v>
      </c>
      <c r="BK106" s="11">
        <v>1</v>
      </c>
      <c r="BL106" s="11">
        <v>5.1334476256671309</v>
      </c>
      <c r="BM106" s="11">
        <v>3.7287337634959337</v>
      </c>
      <c r="BN106" s="11">
        <v>0.96205269511737623</v>
      </c>
      <c r="BO106" s="11">
        <v>-3.6457651698042284</v>
      </c>
      <c r="CS106" s="1" t="s">
        <v>2</v>
      </c>
      <c r="CT106" s="1" t="s">
        <v>2</v>
      </c>
      <c r="CU106" s="1" t="s">
        <v>2</v>
      </c>
      <c r="CV106" s="1" t="s">
        <v>2</v>
      </c>
      <c r="CW106" s="1" t="s">
        <v>2</v>
      </c>
    </row>
    <row r="107" spans="32:101" ht="24" customHeight="1">
      <c r="AQ107" s="6"/>
      <c r="AR107" s="28">
        <v>-1</v>
      </c>
      <c r="AS107" s="28">
        <v>-2</v>
      </c>
      <c r="AT107" s="28">
        <v>-1</v>
      </c>
      <c r="AU107" s="28">
        <v>0</v>
      </c>
      <c r="AV107" s="28">
        <v>-2</v>
      </c>
      <c r="AW107" s="1" t="s">
        <v>14</v>
      </c>
      <c r="AY107">
        <v>0</v>
      </c>
      <c r="AZ107">
        <v>0.69918984513365179</v>
      </c>
      <c r="BA107">
        <v>0.99975205692499469</v>
      </c>
      <c r="BB107">
        <v>0.73032773479444368</v>
      </c>
      <c r="BC107">
        <v>4.4523199891053376E-2</v>
      </c>
      <c r="BD107" s="1" t="s">
        <v>5</v>
      </c>
      <c r="BE107" s="12">
        <v>0</v>
      </c>
      <c r="BF107" s="12">
        <v>-1.3983796902673036</v>
      </c>
      <c r="BG107" s="12">
        <v>-0.99975205692499469</v>
      </c>
      <c r="BH107" s="12">
        <v>0</v>
      </c>
      <c r="BI107" s="12">
        <v>-8.9046399782106753E-2</v>
      </c>
      <c r="BK107" s="12">
        <v>4</v>
      </c>
      <c r="BL107" s="12">
        <v>0.73162030973269632</v>
      </c>
      <c r="BM107" s="12">
        <v>-0.93975205692499464</v>
      </c>
      <c r="BN107" s="12">
        <v>-1.4</v>
      </c>
      <c r="BO107" s="12">
        <v>-3.0890463997821067</v>
      </c>
      <c r="CM107" t="s">
        <v>51</v>
      </c>
      <c r="CS107" t="s">
        <v>67</v>
      </c>
    </row>
    <row r="108" spans="32:101" ht="24" customHeight="1">
      <c r="AQ108" s="23" t="s">
        <v>17</v>
      </c>
      <c r="AR108" s="26">
        <v>5</v>
      </c>
      <c r="AS108" s="26">
        <v>5</v>
      </c>
      <c r="AT108" s="26">
        <v>4</v>
      </c>
      <c r="AU108" s="26">
        <v>2</v>
      </c>
      <c r="AV108" s="26">
        <v>5</v>
      </c>
      <c r="AW108" s="1" t="s">
        <v>14</v>
      </c>
      <c r="AX108" t="s">
        <v>15</v>
      </c>
      <c r="AY108">
        <v>1</v>
      </c>
      <c r="AZ108">
        <v>0.54</v>
      </c>
      <c r="BA108">
        <v>-0.4</v>
      </c>
      <c r="BB108">
        <v>-1</v>
      </c>
      <c r="BC108">
        <v>-0.7</v>
      </c>
      <c r="BD108" s="1" t="s">
        <v>5</v>
      </c>
      <c r="BE108" s="11">
        <v>5</v>
      </c>
      <c r="BF108" s="11">
        <v>2.7</v>
      </c>
      <c r="BG108" s="11">
        <v>-1.6</v>
      </c>
      <c r="BH108" s="11">
        <v>-2</v>
      </c>
      <c r="BI108" s="11">
        <v>-3.5</v>
      </c>
      <c r="CM108" s="26" cm="1">
        <f t="array" ref="CM108:CQ111">_xlfn.ANCHORARRAY(AJ80)</f>
        <v>1</v>
      </c>
      <c r="CN108" s="26">
        <v>3</v>
      </c>
      <c r="CO108" s="26">
        <v>1</v>
      </c>
      <c r="CP108" s="26">
        <v>2</v>
      </c>
      <c r="CQ108" s="26">
        <v>3</v>
      </c>
      <c r="CR108" s="1" t="s">
        <v>5</v>
      </c>
      <c r="CS108" s="45" cm="1">
        <f t="array" ref="CS108:CW111">MMULT(_xlfn.ANCHORARRAY(CM108),CS101:CW105)</f>
        <v>2.9999140564753928</v>
      </c>
      <c r="CT108" s="45">
        <v>2.9989862826514799</v>
      </c>
      <c r="CU108" s="45">
        <v>2.9957356286095491</v>
      </c>
      <c r="CV108" s="45">
        <v>1.6804253064390919</v>
      </c>
      <c r="CW108" s="45">
        <v>1.9926207540889103</v>
      </c>
    </row>
    <row r="109" spans="32:101" ht="24" customHeight="1">
      <c r="AQ109" s="6"/>
      <c r="AR109" s="27">
        <v>1</v>
      </c>
      <c r="AS109" s="27">
        <v>2</v>
      </c>
      <c r="AT109" s="27">
        <v>1</v>
      </c>
      <c r="AU109" s="27">
        <v>0</v>
      </c>
      <c r="AV109" s="27">
        <v>2</v>
      </c>
      <c r="AW109" s="1" t="s">
        <v>14</v>
      </c>
      <c r="AY109">
        <v>1</v>
      </c>
      <c r="AZ109">
        <v>0.64</v>
      </c>
      <c r="BA109">
        <v>-0.2</v>
      </c>
      <c r="BB109">
        <v>-0.9</v>
      </c>
      <c r="BC109">
        <v>-0.9</v>
      </c>
      <c r="BD109" s="1" t="s">
        <v>5</v>
      </c>
      <c r="BE109" s="11">
        <v>1</v>
      </c>
      <c r="BF109" s="11">
        <v>1.28</v>
      </c>
      <c r="BG109" s="11">
        <v>-0.2</v>
      </c>
      <c r="BH109" s="11">
        <v>0</v>
      </c>
      <c r="BI109" s="11">
        <v>-1.8</v>
      </c>
      <c r="CM109" s="27">
        <v>1</v>
      </c>
      <c r="CN109" s="27">
        <v>3</v>
      </c>
      <c r="CO109" s="27">
        <v>1</v>
      </c>
      <c r="CP109" s="27">
        <v>2</v>
      </c>
      <c r="CQ109" s="27">
        <v>3</v>
      </c>
      <c r="CR109" s="1" t="s">
        <v>5</v>
      </c>
      <c r="CS109" s="46">
        <v>2.9999140564753928</v>
      </c>
      <c r="CT109" s="46">
        <v>2.9989862826514799</v>
      </c>
      <c r="CU109" s="46">
        <v>2.9957356286095491</v>
      </c>
      <c r="CV109" s="46">
        <v>1.6804253064390919</v>
      </c>
      <c r="CW109" s="46">
        <v>1.9926207540889103</v>
      </c>
    </row>
    <row r="110" spans="32:101" ht="24" customHeight="1">
      <c r="AQ110" s="6"/>
      <c r="AR110" s="28">
        <v>4</v>
      </c>
      <c r="AS110" s="28">
        <v>3</v>
      </c>
      <c r="AT110" s="28">
        <v>3</v>
      </c>
      <c r="AU110" s="28">
        <v>2</v>
      </c>
      <c r="AV110" s="28">
        <v>3</v>
      </c>
      <c r="AW110" s="1" t="s">
        <v>14</v>
      </c>
      <c r="AY110">
        <v>1</v>
      </c>
      <c r="AZ110">
        <v>0.71</v>
      </c>
      <c r="BA110">
        <v>0.02</v>
      </c>
      <c r="BB110">
        <v>-0.7</v>
      </c>
      <c r="BC110">
        <v>-1</v>
      </c>
      <c r="BD110" s="1" t="s">
        <v>5</v>
      </c>
      <c r="BE110" s="12">
        <v>4</v>
      </c>
      <c r="BF110" s="12">
        <v>2.13</v>
      </c>
      <c r="BG110" s="12">
        <v>0.06</v>
      </c>
      <c r="BH110" s="12">
        <v>-1.4</v>
      </c>
      <c r="BI110" s="12">
        <v>-3</v>
      </c>
      <c r="CM110" s="27">
        <v>3</v>
      </c>
      <c r="CN110" s="27">
        <v>4</v>
      </c>
      <c r="CO110" s="27">
        <v>3</v>
      </c>
      <c r="CP110" s="27">
        <v>2</v>
      </c>
      <c r="CQ110" s="27">
        <v>2</v>
      </c>
      <c r="CR110" s="1" t="s">
        <v>5</v>
      </c>
      <c r="CS110" s="46">
        <v>3.9999570282376964</v>
      </c>
      <c r="CT110" s="46">
        <v>3.9994931413257402</v>
      </c>
      <c r="CU110" s="46">
        <v>3.9978678143047741</v>
      </c>
      <c r="CV110" s="46">
        <v>2.3195746935609081</v>
      </c>
      <c r="CW110" s="46">
        <v>2.0073792459110895</v>
      </c>
    </row>
    <row r="111" spans="32:101" ht="24" customHeight="1">
      <c r="CM111" s="28">
        <v>4</v>
      </c>
      <c r="CN111" s="28">
        <v>7</v>
      </c>
      <c r="CO111" s="28">
        <v>4</v>
      </c>
      <c r="CP111" s="28">
        <v>4</v>
      </c>
      <c r="CQ111" s="28">
        <v>5</v>
      </c>
      <c r="CR111" s="1" t="s">
        <v>5</v>
      </c>
      <c r="CS111" s="47">
        <v>6.9998710847130896</v>
      </c>
      <c r="CT111" s="47">
        <v>6.998479423977221</v>
      </c>
      <c r="CU111" s="47">
        <v>6.9936034429143241</v>
      </c>
      <c r="CV111" s="47">
        <v>4</v>
      </c>
      <c r="CW111" s="47">
        <v>4</v>
      </c>
    </row>
    <row r="114" spans="32:95" ht="24" customHeight="1">
      <c r="AJ114" s="6" t="s">
        <v>35</v>
      </c>
    </row>
    <row r="115" spans="32:95" ht="24" customHeight="1">
      <c r="AJ115" s="33" cm="1">
        <f t="array" ref="AJ115:AN117">_xlfn.ANCHORARRAY(AJ15)</f>
        <v>4</v>
      </c>
      <c r="AK115" s="33">
        <v>2</v>
      </c>
      <c r="AL115" s="33">
        <v>3</v>
      </c>
      <c r="AM115" s="33">
        <v>0</v>
      </c>
      <c r="AN115" s="33">
        <v>2</v>
      </c>
    </row>
    <row r="116" spans="32:95" ht="24" customHeight="1">
      <c r="AJ116" s="34">
        <v>3</v>
      </c>
      <c r="AK116" s="34">
        <v>0</v>
      </c>
      <c r="AL116" s="34">
        <v>2</v>
      </c>
      <c r="AM116" s="34">
        <v>0</v>
      </c>
      <c r="AN116" s="34">
        <v>0</v>
      </c>
      <c r="CL116" s="22" t="s">
        <v>55</v>
      </c>
      <c r="CM116" s="26" cm="1">
        <f t="array" ref="CM116:CQ121">_xlfn.ANCHORARRAY(AJ120)</f>
        <v>4</v>
      </c>
      <c r="CN116" s="26">
        <v>2</v>
      </c>
      <c r="CO116" s="26">
        <v>3</v>
      </c>
      <c r="CP116" s="26">
        <v>0</v>
      </c>
      <c r="CQ116" s="26">
        <v>2</v>
      </c>
    </row>
    <row r="117" spans="32:95" ht="24" customHeight="1">
      <c r="AJ117" s="35">
        <v>1</v>
      </c>
      <c r="AK117" s="35">
        <v>3</v>
      </c>
      <c r="AL117" s="35">
        <v>1</v>
      </c>
      <c r="AM117" s="35">
        <v>2</v>
      </c>
      <c r="AN117" s="35">
        <v>3</v>
      </c>
      <c r="CM117" s="27">
        <v>3</v>
      </c>
      <c r="CN117" s="27">
        <v>0</v>
      </c>
      <c r="CO117" s="27">
        <v>2</v>
      </c>
      <c r="CP117" s="27">
        <v>0</v>
      </c>
      <c r="CQ117" s="27">
        <v>0</v>
      </c>
    </row>
    <row r="118" spans="32:95" ht="24" customHeight="1">
      <c r="AJ118" s="1" t="s">
        <v>2</v>
      </c>
      <c r="AK118" s="1" t="s">
        <v>2</v>
      </c>
      <c r="AL118" s="1" t="s">
        <v>2</v>
      </c>
      <c r="AM118" s="1" t="s">
        <v>2</v>
      </c>
      <c r="AN118" s="1" t="s">
        <v>2</v>
      </c>
      <c r="CM118" s="27">
        <v>1</v>
      </c>
      <c r="CN118" s="27">
        <v>3</v>
      </c>
      <c r="CO118" s="27">
        <v>1</v>
      </c>
      <c r="CP118" s="27">
        <v>2</v>
      </c>
      <c r="CQ118" s="27">
        <v>3</v>
      </c>
    </row>
    <row r="119" spans="32:95" ht="24" customHeight="1">
      <c r="AF119" s="6" t="s">
        <v>56</v>
      </c>
      <c r="AJ119" s="6" t="s">
        <v>57</v>
      </c>
      <c r="CM119" s="27">
        <v>8</v>
      </c>
      <c r="CN119" s="27">
        <v>5</v>
      </c>
      <c r="CO119" s="27">
        <v>6</v>
      </c>
      <c r="CP119" s="27">
        <v>2</v>
      </c>
      <c r="CQ119" s="27">
        <v>5</v>
      </c>
    </row>
    <row r="120" spans="32:95" ht="24" customHeight="1">
      <c r="AF120" s="38">
        <v>1</v>
      </c>
      <c r="AG120" s="38">
        <v>0</v>
      </c>
      <c r="AH120" s="38">
        <v>0</v>
      </c>
      <c r="AI120" s="1" t="s">
        <v>5</v>
      </c>
      <c r="AJ120" s="13" cm="1">
        <f t="array" ref="AJ120:AN125">MMULT(AF120:AH125,_xlfn.ANCHORARRAY(AJ115))</f>
        <v>4</v>
      </c>
      <c r="AK120" s="13">
        <v>2</v>
      </c>
      <c r="AL120" s="13">
        <v>3</v>
      </c>
      <c r="AM120" s="13">
        <v>0</v>
      </c>
      <c r="AN120" s="13">
        <v>2</v>
      </c>
      <c r="CM120" s="27">
        <v>3</v>
      </c>
      <c r="CN120" s="27">
        <v>0</v>
      </c>
      <c r="CO120" s="27">
        <v>2</v>
      </c>
      <c r="CP120" s="27">
        <v>0</v>
      </c>
      <c r="CQ120" s="27">
        <v>0</v>
      </c>
    </row>
    <row r="121" spans="32:95" ht="24" customHeight="1">
      <c r="AF121" s="38">
        <v>0</v>
      </c>
      <c r="AG121" s="38">
        <v>1</v>
      </c>
      <c r="AH121" s="38">
        <v>0</v>
      </c>
      <c r="AJ121" s="14">
        <v>3</v>
      </c>
      <c r="AK121" s="14">
        <v>0</v>
      </c>
      <c r="AL121" s="14">
        <v>2</v>
      </c>
      <c r="AM121" s="14">
        <v>0</v>
      </c>
      <c r="AN121" s="14">
        <v>0</v>
      </c>
      <c r="CM121" s="28">
        <v>8</v>
      </c>
      <c r="CN121" s="28">
        <v>5</v>
      </c>
      <c r="CO121" s="28">
        <v>6</v>
      </c>
      <c r="CP121" s="28">
        <v>2</v>
      </c>
      <c r="CQ121" s="28">
        <v>5</v>
      </c>
    </row>
    <row r="122" spans="32:95" ht="24" customHeight="1">
      <c r="AF122" s="38">
        <v>0</v>
      </c>
      <c r="AG122" s="38">
        <v>0</v>
      </c>
      <c r="AH122" s="38">
        <v>1</v>
      </c>
      <c r="AJ122" s="14">
        <v>1</v>
      </c>
      <c r="AK122" s="14">
        <v>3</v>
      </c>
      <c r="AL122" s="14">
        <v>1</v>
      </c>
      <c r="AM122" s="14">
        <v>2</v>
      </c>
      <c r="AN122" s="14">
        <v>3</v>
      </c>
      <c r="CL122" s="22" t="s">
        <v>58</v>
      </c>
      <c r="CM122" s="30" cm="1">
        <f t="array" ref="CM122:CQ127">BR128:BV133</f>
        <v>3</v>
      </c>
      <c r="CN122" s="30">
        <v>-4.2073549240394827</v>
      </c>
      <c r="CO122" s="30">
        <v>-4.4371897073027267</v>
      </c>
      <c r="CP122" s="30">
        <v>-0.28224001611973443</v>
      </c>
      <c r="CQ122" s="30">
        <v>3.7840124765396412</v>
      </c>
    </row>
    <row r="123" spans="32:95" ht="24" customHeight="1">
      <c r="AF123" s="38">
        <v>1</v>
      </c>
      <c r="AG123" s="38">
        <v>1</v>
      </c>
      <c r="AH123" s="38">
        <v>1</v>
      </c>
      <c r="AI123" s="1" t="s">
        <v>5</v>
      </c>
      <c r="AJ123" s="14">
        <v>8</v>
      </c>
      <c r="AK123" s="14">
        <v>5</v>
      </c>
      <c r="AL123" s="14">
        <v>6</v>
      </c>
      <c r="AM123" s="14">
        <v>2</v>
      </c>
      <c r="AN123" s="14">
        <v>5</v>
      </c>
      <c r="CM123" s="31">
        <v>5</v>
      </c>
      <c r="CN123" s="31">
        <v>0.88793142459972163</v>
      </c>
      <c r="CO123" s="31">
        <v>0.18218344087398342</v>
      </c>
      <c r="CP123" s="31">
        <v>-2.7620526951173763</v>
      </c>
      <c r="CQ123" s="31">
        <v>-3.392540898117463</v>
      </c>
    </row>
    <row r="124" spans="32:95" ht="24" customHeight="1">
      <c r="AF124" s="38">
        <v>0</v>
      </c>
      <c r="AG124" s="38">
        <v>1</v>
      </c>
      <c r="AH124" s="38">
        <v>0</v>
      </c>
      <c r="AI124" s="1" t="s">
        <v>5</v>
      </c>
      <c r="AJ124" s="14">
        <v>3</v>
      </c>
      <c r="AK124" s="14">
        <v>0</v>
      </c>
      <c r="AL124" s="14">
        <v>2</v>
      </c>
      <c r="AM124" s="14">
        <v>0</v>
      </c>
      <c r="AN124" s="14">
        <v>0</v>
      </c>
      <c r="CL124" s="2"/>
      <c r="CM124" s="31">
        <v>-3</v>
      </c>
      <c r="CN124" s="31">
        <v>-0.68837969026730361</v>
      </c>
      <c r="CO124" s="31">
        <v>-5.0387602846249733</v>
      </c>
      <c r="CP124" s="31">
        <v>-1.4</v>
      </c>
      <c r="CQ124" s="31">
        <v>-1.0890463997821067</v>
      </c>
    </row>
    <row r="125" spans="32:95" ht="24" customHeight="1">
      <c r="AF125" s="38">
        <v>1</v>
      </c>
      <c r="AG125" s="38">
        <v>1</v>
      </c>
      <c r="AH125" s="38">
        <v>1</v>
      </c>
      <c r="AI125" s="1" t="s">
        <v>5</v>
      </c>
      <c r="AJ125" s="15">
        <v>8</v>
      </c>
      <c r="AK125" s="15">
        <v>5</v>
      </c>
      <c r="AL125" s="15">
        <v>6</v>
      </c>
      <c r="AM125" s="15">
        <v>2</v>
      </c>
      <c r="AN125" s="15">
        <v>5</v>
      </c>
      <c r="CL125" s="2"/>
      <c r="CM125" s="31">
        <v>5</v>
      </c>
      <c r="CN125" s="31">
        <v>2.7</v>
      </c>
      <c r="CO125" s="31">
        <v>0.21859485365136333</v>
      </c>
      <c r="CP125" s="31">
        <v>-2</v>
      </c>
      <c r="CQ125" s="31">
        <v>-3.5</v>
      </c>
    </row>
    <row r="126" spans="32:95" ht="24" customHeight="1">
      <c r="CM126" s="31">
        <v>-2</v>
      </c>
      <c r="CN126" s="31">
        <v>5.7734476256671305</v>
      </c>
      <c r="CO126" s="31">
        <v>4.1287337634959336</v>
      </c>
      <c r="CP126" s="31">
        <v>-0.83794730488262381</v>
      </c>
      <c r="CQ126" s="31">
        <v>-4.5457651698042287</v>
      </c>
    </row>
    <row r="127" spans="32:95" ht="24" customHeight="1">
      <c r="AF127" s="6" t="s">
        <v>59</v>
      </c>
      <c r="AJ127" s="6" t="s">
        <v>60</v>
      </c>
      <c r="AR127" s="6" t="s">
        <v>61</v>
      </c>
      <c r="BK127" s="6" t="s">
        <v>10</v>
      </c>
      <c r="BR127" s="6" t="s">
        <v>62</v>
      </c>
      <c r="CM127" s="32">
        <v>7</v>
      </c>
      <c r="CN127" s="32">
        <v>2.1191898451336515</v>
      </c>
      <c r="CO127" s="32">
        <v>-1.8995041138499893</v>
      </c>
      <c r="CP127" s="32">
        <v>1.4606554695888874</v>
      </c>
      <c r="CQ127" s="32">
        <v>-1.9554768001089466</v>
      </c>
    </row>
    <row r="128" spans="32:95" ht="24" customHeight="1">
      <c r="AF128" s="38">
        <v>0</v>
      </c>
      <c r="AG128" s="38">
        <v>1</v>
      </c>
      <c r="AH128" s="38">
        <v>0</v>
      </c>
      <c r="AI128" s="1" t="s">
        <v>5</v>
      </c>
      <c r="AJ128" s="13" cm="1">
        <f t="array" ref="AJ128:AN133">MMULT(AF128:AH133,_xlfn.ANCHORARRAY(AJ115))</f>
        <v>3</v>
      </c>
      <c r="AK128" s="13">
        <v>0</v>
      </c>
      <c r="AL128" s="13">
        <v>2</v>
      </c>
      <c r="AM128" s="13">
        <v>0</v>
      </c>
      <c r="AN128" s="13">
        <v>0</v>
      </c>
      <c r="AO128" s="22" t="s">
        <v>13</v>
      </c>
      <c r="AP128" s="1" t="s">
        <v>5</v>
      </c>
      <c r="AQ128" s="22" t="s">
        <v>13</v>
      </c>
      <c r="AR128" s="26" cm="1">
        <f t="array" ref="AR128:AV133">_xlfn.ANCHORARRAY(AJ128)</f>
        <v>3</v>
      </c>
      <c r="AS128" s="26">
        <v>0</v>
      </c>
      <c r="AT128" s="26">
        <v>2</v>
      </c>
      <c r="AU128" s="26">
        <v>0</v>
      </c>
      <c r="AV128" s="26">
        <v>0</v>
      </c>
      <c r="AW128" s="1" t="s">
        <v>14</v>
      </c>
      <c r="AX128" t="s">
        <v>15</v>
      </c>
      <c r="AY128">
        <v>1</v>
      </c>
      <c r="AZ128">
        <v>0.54</v>
      </c>
      <c r="BA128">
        <v>-0.4</v>
      </c>
      <c r="BB128">
        <v>-1</v>
      </c>
      <c r="BC128">
        <v>-0.7</v>
      </c>
      <c r="BD128" s="1" t="s">
        <v>5</v>
      </c>
      <c r="BE128" s="10" cm="1">
        <f t="array" ref="BE128:BI139">AR128:AV139*AY128:BC139</f>
        <v>3</v>
      </c>
      <c r="BF128" s="10">
        <v>0</v>
      </c>
      <c r="BG128" s="10">
        <v>-0.8</v>
      </c>
      <c r="BH128" s="10">
        <v>0</v>
      </c>
      <c r="BI128" s="10">
        <v>0</v>
      </c>
      <c r="BK128" s="10" cm="1">
        <f t="array" ref="BK128:BO130">BE128:BI130+BE131:BI133</f>
        <v>3</v>
      </c>
      <c r="BL128" s="10">
        <v>-4.2073549240394827</v>
      </c>
      <c r="BM128" s="10">
        <v>-4.4371897073027267</v>
      </c>
      <c r="BN128" s="10">
        <v>-0.28224001611973443</v>
      </c>
      <c r="BO128" s="10">
        <v>3.7840124765396412</v>
      </c>
      <c r="BQ128" s="22" t="s">
        <v>16</v>
      </c>
      <c r="BR128" s="30" cm="1">
        <f t="array" ref="BR128:BV130">_xlfn.ANCHORARRAY(BK128)</f>
        <v>3</v>
      </c>
      <c r="BS128" s="30">
        <v>-4.2073549240394827</v>
      </c>
      <c r="BT128" s="30">
        <v>-4.4371897073027267</v>
      </c>
      <c r="BU128" s="30">
        <v>-0.28224001611973443</v>
      </c>
      <c r="BV128" s="30">
        <v>3.7840124765396412</v>
      </c>
      <c r="CM128" s="1" t="s">
        <v>2</v>
      </c>
      <c r="CN128" s="1" t="s">
        <v>2</v>
      </c>
      <c r="CO128" s="1" t="s">
        <v>2</v>
      </c>
      <c r="CP128" s="1" t="s">
        <v>2</v>
      </c>
      <c r="CQ128" s="1" t="s">
        <v>2</v>
      </c>
    </row>
    <row r="129" spans="32:101" ht="24" customHeight="1">
      <c r="AF129" s="38">
        <v>1</v>
      </c>
      <c r="AG129" s="38">
        <v>0</v>
      </c>
      <c r="AH129" s="38">
        <v>1</v>
      </c>
      <c r="AI129" s="1" t="s">
        <v>5</v>
      </c>
      <c r="AJ129" s="14">
        <v>5</v>
      </c>
      <c r="AK129" s="14">
        <v>5</v>
      </c>
      <c r="AL129" s="14">
        <v>4</v>
      </c>
      <c r="AM129" s="14">
        <v>2</v>
      </c>
      <c r="AN129" s="14">
        <v>5</v>
      </c>
      <c r="AO129" s="22"/>
      <c r="AP129" s="1" t="s">
        <v>5</v>
      </c>
      <c r="AQ129" s="22"/>
      <c r="AR129" s="27">
        <v>5</v>
      </c>
      <c r="AS129" s="27">
        <v>5</v>
      </c>
      <c r="AT129" s="27">
        <v>4</v>
      </c>
      <c r="AU129" s="27">
        <v>2</v>
      </c>
      <c r="AV129" s="27">
        <v>5</v>
      </c>
      <c r="AW129" s="1" t="s">
        <v>14</v>
      </c>
      <c r="AY129">
        <v>1</v>
      </c>
      <c r="AZ129">
        <v>0.64</v>
      </c>
      <c r="BA129">
        <v>-0.2</v>
      </c>
      <c r="BB129">
        <v>-0.9</v>
      </c>
      <c r="BC129">
        <v>-0.9</v>
      </c>
      <c r="BD129" s="1" t="s">
        <v>5</v>
      </c>
      <c r="BE129" s="11">
        <v>5</v>
      </c>
      <c r="BF129" s="11">
        <v>3.2</v>
      </c>
      <c r="BG129" s="11">
        <v>-0.8</v>
      </c>
      <c r="BH129" s="11">
        <v>-1.8</v>
      </c>
      <c r="BI129" s="11">
        <v>-4.5</v>
      </c>
      <c r="BK129" s="11">
        <v>5</v>
      </c>
      <c r="BL129" s="11">
        <v>0.88793142459972163</v>
      </c>
      <c r="BM129" s="11">
        <v>0.18218344087398342</v>
      </c>
      <c r="BN129" s="11">
        <v>-2.7620526951173763</v>
      </c>
      <c r="BO129" s="11">
        <v>-3.392540898117463</v>
      </c>
      <c r="BQ129" s="2"/>
      <c r="BR129" s="31">
        <v>5</v>
      </c>
      <c r="BS129" s="31">
        <v>0.88793142459972163</v>
      </c>
      <c r="BT129" s="31">
        <v>0.18218344087398342</v>
      </c>
      <c r="BU129" s="31">
        <v>-2.7620526951173763</v>
      </c>
      <c r="BV129" s="31">
        <v>-3.392540898117463</v>
      </c>
      <c r="BZ129" t="s">
        <v>63</v>
      </c>
      <c r="CF129" s="5" t="s">
        <v>64</v>
      </c>
      <c r="CM129" t="s">
        <v>65</v>
      </c>
      <c r="CS129" t="s">
        <v>66</v>
      </c>
    </row>
    <row r="130" spans="32:101" ht="24" customHeight="1">
      <c r="AF130" s="38">
        <v>-1</v>
      </c>
      <c r="AG130" s="38">
        <v>0</v>
      </c>
      <c r="AH130" s="38">
        <v>1</v>
      </c>
      <c r="AI130" s="1" t="s">
        <v>5</v>
      </c>
      <c r="AJ130" s="14">
        <v>-3</v>
      </c>
      <c r="AK130" s="14">
        <v>1</v>
      </c>
      <c r="AL130" s="14">
        <v>-2</v>
      </c>
      <c r="AM130" s="14">
        <v>2</v>
      </c>
      <c r="AN130" s="14">
        <v>1</v>
      </c>
      <c r="AO130" s="6"/>
      <c r="AP130" s="1" t="s">
        <v>5</v>
      </c>
      <c r="AQ130" s="6"/>
      <c r="AR130" s="28">
        <v>-3</v>
      </c>
      <c r="AS130" s="28">
        <v>1</v>
      </c>
      <c r="AT130" s="28">
        <v>-2</v>
      </c>
      <c r="AU130" s="28">
        <v>2</v>
      </c>
      <c r="AV130" s="28">
        <v>1</v>
      </c>
      <c r="AW130" s="1" t="s">
        <v>14</v>
      </c>
      <c r="AY130">
        <v>1</v>
      </c>
      <c r="AZ130">
        <v>0.71</v>
      </c>
      <c r="BA130">
        <v>0.02</v>
      </c>
      <c r="BB130">
        <v>-0.7</v>
      </c>
      <c r="BC130">
        <v>-1</v>
      </c>
      <c r="BD130" s="1" t="s">
        <v>5</v>
      </c>
      <c r="BE130" s="12">
        <v>-3</v>
      </c>
      <c r="BF130" s="12">
        <v>0.71</v>
      </c>
      <c r="BG130" s="12">
        <v>-0.04</v>
      </c>
      <c r="BH130" s="12">
        <v>-1.4</v>
      </c>
      <c r="BI130" s="12">
        <v>-1</v>
      </c>
      <c r="BK130" s="12">
        <v>-3</v>
      </c>
      <c r="BL130" s="12">
        <v>-0.68837969026730361</v>
      </c>
      <c r="BM130" s="12">
        <v>-5.0387602846249733</v>
      </c>
      <c r="BN130" s="12">
        <v>-1.4</v>
      </c>
      <c r="BO130" s="12">
        <v>-1.0890463997821067</v>
      </c>
      <c r="BQ130" s="2"/>
      <c r="BR130" s="32">
        <v>-3</v>
      </c>
      <c r="BS130" s="32">
        <v>-0.68837969026730361</v>
      </c>
      <c r="BT130" s="32">
        <v>-5.0387602846249733</v>
      </c>
      <c r="BU130" s="32">
        <v>-1.4</v>
      </c>
      <c r="BV130" s="32">
        <v>-1.0890463997821067</v>
      </c>
      <c r="BZ130" s="48" cm="1">
        <f t="array" ref="BZ130:CK134">BZ102:CK106</f>
        <v>4</v>
      </c>
      <c r="CA130" s="52">
        <v>0</v>
      </c>
      <c r="CB130" s="52">
        <v>6</v>
      </c>
      <c r="CC130" s="52">
        <v>3</v>
      </c>
      <c r="CD130" s="52">
        <v>6</v>
      </c>
      <c r="CE130" s="49">
        <v>3</v>
      </c>
      <c r="CF130" s="42">
        <v>-1.142941969615793</v>
      </c>
      <c r="CG130" s="43">
        <v>-0.90137905026685228</v>
      </c>
      <c r="CH130" s="43">
        <v>2.1620309732696352E-2</v>
      </c>
      <c r="CI130" s="43">
        <v>1.9214709848078966</v>
      </c>
      <c r="CJ130" s="43">
        <v>2.0506895251334263</v>
      </c>
      <c r="CK130" s="44">
        <v>2.8183796902673035</v>
      </c>
      <c r="CL130" s="1" t="s">
        <v>5</v>
      </c>
      <c r="CM130" s="10" cm="1">
        <f t="array" ref="CM130:CQ134">MMULT(_xlfn.ANCHORARRAY(BZ130),CM116:CQ127)/SQRT(12)+_xlfn.ANCHORARRAY(CM47)</f>
        <v>30.378454014282507</v>
      </c>
      <c r="CN130" s="10">
        <v>23.958222889000822</v>
      </c>
      <c r="CO130" s="10">
        <v>21.457668867853666</v>
      </c>
      <c r="CP130" s="10">
        <v>7.3142605951014028</v>
      </c>
      <c r="CQ130" s="10">
        <v>9.5699085130553421</v>
      </c>
      <c r="CR130" s="1" t="s">
        <v>5</v>
      </c>
      <c r="CS130" s="10" cm="1">
        <f t="array" ref="CS130:CS134">_xlfn.LET(_xlpm.e,EXP(CM130:CM134), _xlpm.e/SUM(_xlpm.e))</f>
        <v>0.99999949476795813</v>
      </c>
      <c r="CT130" s="10" cm="1">
        <f t="array" ref="CT130:CT134">_xlfn.LET(_xlpm.e,EXP(CN130:CN134), _xlpm.e/SUM(_xlpm.e))</f>
        <v>0.99999273832493896</v>
      </c>
      <c r="CU130" s="10" cm="1">
        <f t="array" ref="CU130:CU134">_xlfn.LET(_xlpm.e,EXP(CO130:CO134), _xlpm.e/SUM(_xlpm.e))</f>
        <v>0.99999513657710892</v>
      </c>
      <c r="CV130" s="10" cm="1">
        <f t="array" ref="CV130:CV134">_xlfn.LET(_xlpm.e,EXP(CP130:CP134), _xlpm.e/SUM(_xlpm.e))</f>
        <v>0.27318987091802654</v>
      </c>
      <c r="CW130" s="10" cm="1">
        <f t="array" ref="CW130:CW134">_xlfn.LET(_xlpm.e,EXP(CQ130:CQ134), _xlpm.e/SUM(_xlpm.e))</f>
        <v>4.1871369784730769E-4</v>
      </c>
    </row>
    <row r="131" spans="32:101" ht="24" customHeight="1">
      <c r="AF131" s="38">
        <v>1</v>
      </c>
      <c r="AG131" s="38">
        <v>0</v>
      </c>
      <c r="AH131" s="38">
        <v>1</v>
      </c>
      <c r="AI131" s="1" t="s">
        <v>5</v>
      </c>
      <c r="AJ131" s="14">
        <v>5</v>
      </c>
      <c r="AK131" s="14">
        <v>5</v>
      </c>
      <c r="AL131" s="14">
        <v>4</v>
      </c>
      <c r="AM131" s="14">
        <v>2</v>
      </c>
      <c r="AN131" s="14">
        <v>5</v>
      </c>
      <c r="AO131" s="22" t="s">
        <v>17</v>
      </c>
      <c r="AP131" s="1" t="s">
        <v>5</v>
      </c>
      <c r="AQ131" s="22" t="s">
        <v>17</v>
      </c>
      <c r="AR131" s="26">
        <v>5</v>
      </c>
      <c r="AS131" s="26">
        <v>5</v>
      </c>
      <c r="AT131" s="26">
        <v>4</v>
      </c>
      <c r="AU131" s="26">
        <v>2</v>
      </c>
      <c r="AV131" s="26">
        <v>5</v>
      </c>
      <c r="AW131" s="1" t="s">
        <v>14</v>
      </c>
      <c r="AX131" s="4" t="s">
        <v>18</v>
      </c>
      <c r="AY131">
        <v>0</v>
      </c>
      <c r="AZ131">
        <v>-0.8414709848078965</v>
      </c>
      <c r="BA131">
        <v>-0.90929742682568171</v>
      </c>
      <c r="BB131">
        <v>-0.14112000805986721</v>
      </c>
      <c r="BC131">
        <v>0.7568024953079282</v>
      </c>
      <c r="BD131" s="1" t="s">
        <v>5</v>
      </c>
      <c r="BE131" s="10">
        <v>0</v>
      </c>
      <c r="BF131" s="10">
        <v>-4.2073549240394827</v>
      </c>
      <c r="BG131" s="10">
        <v>-3.6371897073027268</v>
      </c>
      <c r="BH131" s="10">
        <v>-0.28224001611973443</v>
      </c>
      <c r="BI131" s="10">
        <v>3.7840124765396412</v>
      </c>
      <c r="BQ131" s="22" t="s">
        <v>19</v>
      </c>
      <c r="BR131" s="30" cm="1">
        <f t="array" ref="BR131:BV133">_xlfn.ANCHORARRAY(BK134)</f>
        <v>5</v>
      </c>
      <c r="BS131" s="30">
        <v>2.7</v>
      </c>
      <c r="BT131" s="30">
        <v>0.21859485365136333</v>
      </c>
      <c r="BU131" s="30">
        <v>-2</v>
      </c>
      <c r="BV131" s="30">
        <v>-3.5</v>
      </c>
      <c r="BZ131" s="48">
        <v>3</v>
      </c>
      <c r="CA131" s="52">
        <v>0</v>
      </c>
      <c r="CB131" s="52">
        <v>4</v>
      </c>
      <c r="CC131" s="52">
        <v>1</v>
      </c>
      <c r="CD131" s="52">
        <v>4</v>
      </c>
      <c r="CE131" s="49">
        <v>1</v>
      </c>
      <c r="CF131" s="42">
        <v>-0.8</v>
      </c>
      <c r="CG131" s="43">
        <v>-3.1465503226219504</v>
      </c>
      <c r="CH131" s="43">
        <v>0.06</v>
      </c>
      <c r="CI131" s="43">
        <v>1.8185948536513634</v>
      </c>
      <c r="CJ131" s="43">
        <v>0.38218344087398337</v>
      </c>
      <c r="CK131" s="44">
        <v>2.9992561707749843</v>
      </c>
      <c r="CL131" s="1" t="s">
        <v>5</v>
      </c>
      <c r="CM131" s="11">
        <v>15.880206495223272</v>
      </c>
      <c r="CN131" s="11">
        <v>12.125330119626838</v>
      </c>
      <c r="CO131" s="11">
        <v>9.2239056619097184</v>
      </c>
      <c r="CP131" s="11">
        <v>-93.863872134144145</v>
      </c>
      <c r="CQ131" s="11">
        <v>-93.760323376054671</v>
      </c>
      <c r="CR131" s="1" t="s">
        <v>5</v>
      </c>
      <c r="CS131" s="11">
        <v>5.0523204190073687E-7</v>
      </c>
      <c r="CT131" s="11">
        <v>7.2616750610679002E-6</v>
      </c>
      <c r="CU131" s="11">
        <v>4.8634228910747752E-6</v>
      </c>
      <c r="CV131" s="11">
        <v>3.1286707311417108E-45</v>
      </c>
      <c r="CW131" s="11">
        <v>5.5740087414190072E-49</v>
      </c>
    </row>
    <row r="132" spans="32:101" ht="24" customHeight="1">
      <c r="AF132" s="38">
        <v>0</v>
      </c>
      <c r="AG132" s="38">
        <v>-1</v>
      </c>
      <c r="AH132" s="38">
        <v>1</v>
      </c>
      <c r="AJ132" s="14">
        <v>-2</v>
      </c>
      <c r="AK132" s="14">
        <v>3</v>
      </c>
      <c r="AL132" s="14">
        <v>-1</v>
      </c>
      <c r="AM132" s="14">
        <v>2</v>
      </c>
      <c r="AN132" s="14">
        <v>3</v>
      </c>
      <c r="AP132" s="1" t="s">
        <v>5</v>
      </c>
      <c r="AQ132" s="6"/>
      <c r="AR132" s="27">
        <v>-2</v>
      </c>
      <c r="AS132" s="27">
        <v>3</v>
      </c>
      <c r="AT132" s="27">
        <v>-1</v>
      </c>
      <c r="AU132" s="27">
        <v>2</v>
      </c>
      <c r="AV132" s="27">
        <v>3</v>
      </c>
      <c r="AW132" s="1"/>
      <c r="AY132">
        <v>0</v>
      </c>
      <c r="AZ132">
        <v>-0.77068952513342615</v>
      </c>
      <c r="BA132">
        <v>-0.98218344087398346</v>
      </c>
      <c r="BB132">
        <v>-0.48102634755868812</v>
      </c>
      <c r="BC132">
        <v>0.36915303396084564</v>
      </c>
      <c r="BD132" s="1" t="s">
        <v>5</v>
      </c>
      <c r="BE132" s="11">
        <v>0</v>
      </c>
      <c r="BF132" s="11">
        <v>-2.3120685754002785</v>
      </c>
      <c r="BG132" s="11">
        <v>0.98218344087398346</v>
      </c>
      <c r="BH132" s="11">
        <v>-0.96205269511737623</v>
      </c>
      <c r="BI132" s="11">
        <v>1.107459101882537</v>
      </c>
      <c r="BR132" s="31">
        <v>-2</v>
      </c>
      <c r="BS132" s="31">
        <v>5.7734476256671305</v>
      </c>
      <c r="BT132" s="31">
        <v>4.1287337634959336</v>
      </c>
      <c r="BU132" s="31">
        <v>-0.83794730488262381</v>
      </c>
      <c r="BV132" s="31">
        <v>-4.5457651698042287</v>
      </c>
      <c r="BZ132" s="48">
        <v>2</v>
      </c>
      <c r="CA132" s="52">
        <v>0</v>
      </c>
      <c r="CB132" s="52">
        <v>4</v>
      </c>
      <c r="CC132" s="52">
        <v>2</v>
      </c>
      <c r="CD132" s="52">
        <v>4</v>
      </c>
      <c r="CE132" s="49">
        <v>2</v>
      </c>
      <c r="CF132" s="42">
        <v>-0.14112000805986721</v>
      </c>
      <c r="CG132" s="43">
        <v>-0.48102634755868812</v>
      </c>
      <c r="CH132" s="43">
        <v>-1.4303277347944436</v>
      </c>
      <c r="CI132" s="43">
        <v>-1</v>
      </c>
      <c r="CJ132" s="43">
        <v>-0.9</v>
      </c>
      <c r="CK132" s="44">
        <v>3.0327734794443728E-2</v>
      </c>
      <c r="CL132" s="1" t="s">
        <v>5</v>
      </c>
      <c r="CM132" s="11">
        <v>-84.274483938946133</v>
      </c>
      <c r="CN132" s="11">
        <v>-91.536218409364452</v>
      </c>
      <c r="CO132" s="11">
        <v>-86.792085804167343</v>
      </c>
      <c r="CP132" s="11">
        <v>-93.60025713131995</v>
      </c>
      <c r="CQ132" s="11">
        <v>-86.666823448462807</v>
      </c>
      <c r="CR132" s="1" t="s">
        <v>5</v>
      </c>
      <c r="CS132" s="11">
        <v>1.6101320451291996E-50</v>
      </c>
      <c r="CT132" s="11">
        <v>6.9406205200291035E-51</v>
      </c>
      <c r="CU132" s="11">
        <v>9.7213541854445258E-48</v>
      </c>
      <c r="CV132" s="11">
        <v>4.0723622261577795E-45</v>
      </c>
      <c r="CW132" s="11">
        <v>6.7117461351616852E-46</v>
      </c>
    </row>
    <row r="133" spans="32:101" ht="24" customHeight="1" thickBot="1">
      <c r="AF133" s="38">
        <v>1</v>
      </c>
      <c r="AG133" s="38">
        <v>1</v>
      </c>
      <c r="AH133" s="38">
        <v>0</v>
      </c>
      <c r="AJ133" s="15">
        <v>7</v>
      </c>
      <c r="AK133" s="15">
        <v>2</v>
      </c>
      <c r="AL133" s="15">
        <v>5</v>
      </c>
      <c r="AM133" s="15">
        <v>0</v>
      </c>
      <c r="AN133" s="15">
        <v>2</v>
      </c>
      <c r="AP133" s="1" t="s">
        <v>5</v>
      </c>
      <c r="AQ133" s="6"/>
      <c r="AR133" s="28">
        <v>7</v>
      </c>
      <c r="AS133" s="28">
        <v>2</v>
      </c>
      <c r="AT133" s="28">
        <v>5</v>
      </c>
      <c r="AU133" s="28">
        <v>0</v>
      </c>
      <c r="AV133" s="28">
        <v>2</v>
      </c>
      <c r="AW133" s="1" t="s">
        <v>14</v>
      </c>
      <c r="AY133">
        <v>0</v>
      </c>
      <c r="AZ133">
        <v>-0.69918984513365179</v>
      </c>
      <c r="BA133">
        <v>-0.99975205692499469</v>
      </c>
      <c r="BB133">
        <v>-0.73032773479444368</v>
      </c>
      <c r="BC133">
        <v>-4.4523199891053376E-2</v>
      </c>
      <c r="BD133" s="1" t="s">
        <v>5</v>
      </c>
      <c r="BE133" s="25">
        <v>0</v>
      </c>
      <c r="BF133" s="25">
        <v>-1.3983796902673036</v>
      </c>
      <c r="BG133" s="25">
        <v>-4.9987602846249732</v>
      </c>
      <c r="BH133" s="25">
        <v>0</v>
      </c>
      <c r="BI133" s="25">
        <v>-8.9046399782106753E-2</v>
      </c>
      <c r="BK133" s="6" t="s">
        <v>20</v>
      </c>
      <c r="BR133" s="32">
        <v>7</v>
      </c>
      <c r="BS133" s="32">
        <v>2.1191898451336515</v>
      </c>
      <c r="BT133" s="32">
        <v>-1.8995041138499893</v>
      </c>
      <c r="BU133" s="32">
        <v>1.4606554695888874</v>
      </c>
      <c r="BV133" s="32">
        <v>-1.9554768001089466</v>
      </c>
      <c r="BZ133" s="48">
        <v>2</v>
      </c>
      <c r="CA133" s="52">
        <v>0</v>
      </c>
      <c r="CB133" s="52">
        <v>2</v>
      </c>
      <c r="CC133" s="52">
        <v>3</v>
      </c>
      <c r="CD133" s="52">
        <v>2</v>
      </c>
      <c r="CE133" s="49">
        <v>3</v>
      </c>
      <c r="CF133" s="42">
        <v>-2.0999999999999996</v>
      </c>
      <c r="CG133" s="43">
        <v>0.57661213584338256</v>
      </c>
      <c r="CH133" s="43">
        <v>-4</v>
      </c>
      <c r="CI133" s="43">
        <v>-2.2704074859237844</v>
      </c>
      <c r="CJ133" s="43">
        <v>-3.9691530339608456</v>
      </c>
      <c r="CK133" s="44">
        <v>0.17809279956421351</v>
      </c>
      <c r="CL133" s="1" t="s">
        <v>5</v>
      </c>
      <c r="CM133" s="11">
        <v>-79.672657809240107</v>
      </c>
      <c r="CN133" s="11">
        <v>-93.23559934995032</v>
      </c>
      <c r="CO133" s="11">
        <v>-82.576716311752051</v>
      </c>
      <c r="CP133" s="11">
        <v>8.2927588167661455</v>
      </c>
      <c r="CQ133" s="11">
        <v>17.3478128819633</v>
      </c>
      <c r="CR133" s="1" t="s">
        <v>5</v>
      </c>
      <c r="CS133" s="11">
        <v>1.6047566657436087E-48</v>
      </c>
      <c r="CT133" s="11">
        <v>1.2687221870665267E-51</v>
      </c>
      <c r="CU133" s="11">
        <v>6.5832216283247902E-46</v>
      </c>
      <c r="CV133" s="11">
        <v>0.72681012908197351</v>
      </c>
      <c r="CW133" s="11">
        <v>0.99958128630215282</v>
      </c>
    </row>
    <row r="134" spans="32:101" ht="24" customHeight="1" thickTop="1">
      <c r="AQ134" s="22" t="s">
        <v>13</v>
      </c>
      <c r="AR134" s="26" cm="1">
        <f t="array" ref="AR134:AV139">_xlfn.ANCHORARRAY(AJ128)</f>
        <v>3</v>
      </c>
      <c r="AS134" s="26">
        <v>0</v>
      </c>
      <c r="AT134" s="26">
        <v>2</v>
      </c>
      <c r="AU134" s="26">
        <v>0</v>
      </c>
      <c r="AV134" s="26">
        <v>0</v>
      </c>
      <c r="AW134" s="1" t="s">
        <v>14</v>
      </c>
      <c r="AX134" s="4" t="s">
        <v>21</v>
      </c>
      <c r="AY134">
        <v>0</v>
      </c>
      <c r="AZ134">
        <v>0.8414709848078965</v>
      </c>
      <c r="BA134">
        <v>0.90929742682568171</v>
      </c>
      <c r="BB134">
        <v>0.14112000805986721</v>
      </c>
      <c r="BC134">
        <v>-0.7568024953079282</v>
      </c>
      <c r="BD134" s="1" t="s">
        <v>5</v>
      </c>
      <c r="BE134" s="11">
        <v>0</v>
      </c>
      <c r="BF134" s="11">
        <v>0</v>
      </c>
      <c r="BG134" s="11">
        <v>1.8185948536513634</v>
      </c>
      <c r="BH134" s="11">
        <v>0</v>
      </c>
      <c r="BI134" s="11">
        <v>0</v>
      </c>
      <c r="BK134" s="10" cm="1">
        <f t="array" ref="BK134:BO136">BE134:BI136+BE137:BI139</f>
        <v>5</v>
      </c>
      <c r="BL134" s="10">
        <v>2.7</v>
      </c>
      <c r="BM134" s="10">
        <v>0.21859485365136333</v>
      </c>
      <c r="BN134" s="10">
        <v>-2</v>
      </c>
      <c r="BO134" s="10">
        <v>-3.5</v>
      </c>
      <c r="BZ134" s="48">
        <v>0</v>
      </c>
      <c r="CA134" s="52">
        <v>0</v>
      </c>
      <c r="CB134" s="52">
        <v>0</v>
      </c>
      <c r="CC134" s="52">
        <v>0</v>
      </c>
      <c r="CD134" s="52">
        <v>0</v>
      </c>
      <c r="CE134" s="49">
        <v>0</v>
      </c>
      <c r="CF134" s="42">
        <v>0</v>
      </c>
      <c r="CG134" s="43">
        <v>0</v>
      </c>
      <c r="CH134" s="43">
        <v>0</v>
      </c>
      <c r="CI134" s="43">
        <v>0</v>
      </c>
      <c r="CJ134" s="43">
        <v>0</v>
      </c>
      <c r="CK134" s="44">
        <v>0</v>
      </c>
      <c r="CL134" s="1" t="s">
        <v>5</v>
      </c>
      <c r="CM134" s="12">
        <v>-100</v>
      </c>
      <c r="CN134" s="12">
        <v>-100</v>
      </c>
      <c r="CO134" s="12">
        <v>-100</v>
      </c>
      <c r="CP134" s="12">
        <v>-100</v>
      </c>
      <c r="CQ134" s="12">
        <v>-100</v>
      </c>
      <c r="CR134" s="1" t="s">
        <v>5</v>
      </c>
      <c r="CS134" s="12">
        <v>2.3842766362006997E-57</v>
      </c>
      <c r="CT134" s="12">
        <v>1.4642817818742679E-54</v>
      </c>
      <c r="CU134" s="12">
        <v>1.7848532471964482E-53</v>
      </c>
      <c r="CV134" s="12">
        <v>6.7682031691599978E-48</v>
      </c>
      <c r="CW134" s="12">
        <v>1.0872026913618517E-51</v>
      </c>
    </row>
    <row r="135" spans="32:101" ht="24" customHeight="1">
      <c r="AQ135" s="22"/>
      <c r="AR135" s="27">
        <v>5</v>
      </c>
      <c r="AS135" s="27">
        <v>5</v>
      </c>
      <c r="AT135" s="27">
        <v>4</v>
      </c>
      <c r="AU135" s="27">
        <v>2</v>
      </c>
      <c r="AV135" s="27">
        <v>5</v>
      </c>
      <c r="AW135" s="1" t="s">
        <v>14</v>
      </c>
      <c r="AY135">
        <v>0</v>
      </c>
      <c r="AZ135">
        <v>0.77068952513342615</v>
      </c>
      <c r="BA135">
        <v>0.98218344087398346</v>
      </c>
      <c r="BB135">
        <v>0.48102634755868812</v>
      </c>
      <c r="BC135">
        <v>-0.36915303396084564</v>
      </c>
      <c r="BD135" s="1" t="s">
        <v>5</v>
      </c>
      <c r="BE135" s="11">
        <v>0</v>
      </c>
      <c r="BF135" s="11">
        <v>3.8534476256671306</v>
      </c>
      <c r="BG135" s="11">
        <v>3.9287337634959338</v>
      </c>
      <c r="BH135" s="11">
        <v>0.96205269511737623</v>
      </c>
      <c r="BI135" s="11">
        <v>-1.8457651698042281</v>
      </c>
      <c r="BK135" s="11">
        <v>-2</v>
      </c>
      <c r="BL135" s="11">
        <v>5.7734476256671305</v>
      </c>
      <c r="BM135" s="11">
        <v>4.1287337634959336</v>
      </c>
      <c r="BN135" s="11">
        <v>-0.83794730488262381</v>
      </c>
      <c r="BO135" s="11">
        <v>-4.5457651698042287</v>
      </c>
      <c r="CS135" s="1" t="s">
        <v>2</v>
      </c>
      <c r="CT135" s="1" t="s">
        <v>2</v>
      </c>
      <c r="CU135" s="1" t="s">
        <v>2</v>
      </c>
      <c r="CV135" s="1" t="s">
        <v>2</v>
      </c>
      <c r="CW135" s="1" t="s">
        <v>2</v>
      </c>
    </row>
    <row r="136" spans="32:101" ht="24" customHeight="1">
      <c r="AQ136" s="6"/>
      <c r="AR136" s="28">
        <v>-3</v>
      </c>
      <c r="AS136" s="28">
        <v>1</v>
      </c>
      <c r="AT136" s="28">
        <v>-2</v>
      </c>
      <c r="AU136" s="28">
        <v>2</v>
      </c>
      <c r="AV136" s="28">
        <v>1</v>
      </c>
      <c r="AW136" s="1" t="s">
        <v>14</v>
      </c>
      <c r="AY136">
        <v>0</v>
      </c>
      <c r="AZ136">
        <v>0.69918984513365179</v>
      </c>
      <c r="BA136">
        <v>0.99975205692499469</v>
      </c>
      <c r="BB136">
        <v>0.73032773479444368</v>
      </c>
      <c r="BC136">
        <v>4.4523199891053376E-2</v>
      </c>
      <c r="BD136" s="1" t="s">
        <v>5</v>
      </c>
      <c r="BE136" s="12">
        <v>0</v>
      </c>
      <c r="BF136" s="12">
        <v>0.69918984513365179</v>
      </c>
      <c r="BG136" s="12">
        <v>-1.9995041138499894</v>
      </c>
      <c r="BH136" s="12">
        <v>1.4606554695888874</v>
      </c>
      <c r="BI136" s="12">
        <v>4.4523199891053376E-2</v>
      </c>
      <c r="BK136" s="12">
        <v>7</v>
      </c>
      <c r="BL136" s="12">
        <v>2.1191898451336515</v>
      </c>
      <c r="BM136" s="12">
        <v>-1.8995041138499893</v>
      </c>
      <c r="BN136" s="12">
        <v>1.4606554695888874</v>
      </c>
      <c r="BO136" s="12">
        <v>-1.9554768001089466</v>
      </c>
      <c r="CM136" t="s">
        <v>51</v>
      </c>
      <c r="CS136" t="s">
        <v>67</v>
      </c>
    </row>
    <row r="137" spans="32:101" ht="24" customHeight="1">
      <c r="AQ137" s="23" t="s">
        <v>17</v>
      </c>
      <c r="AR137" s="26">
        <v>5</v>
      </c>
      <c r="AS137" s="26">
        <v>5</v>
      </c>
      <c r="AT137" s="26">
        <v>4</v>
      </c>
      <c r="AU137" s="26">
        <v>2</v>
      </c>
      <c r="AV137" s="26">
        <v>5</v>
      </c>
      <c r="AW137" s="1" t="s">
        <v>14</v>
      </c>
      <c r="AX137" t="s">
        <v>15</v>
      </c>
      <c r="AY137">
        <v>1</v>
      </c>
      <c r="AZ137">
        <v>0.54</v>
      </c>
      <c r="BA137">
        <v>-0.4</v>
      </c>
      <c r="BB137">
        <v>-1</v>
      </c>
      <c r="BC137">
        <v>-0.7</v>
      </c>
      <c r="BD137" s="1" t="s">
        <v>5</v>
      </c>
      <c r="BE137" s="11">
        <v>5</v>
      </c>
      <c r="BF137" s="11">
        <v>2.7</v>
      </c>
      <c r="BG137" s="11">
        <v>-1.6</v>
      </c>
      <c r="BH137" s="11">
        <v>-2</v>
      </c>
      <c r="BI137" s="11">
        <v>-3.5</v>
      </c>
      <c r="CM137" s="26" cm="1">
        <f t="array" ref="CM137:CQ140">_xlfn.ANCHORARRAY(AJ80)</f>
        <v>1</v>
      </c>
      <c r="CN137" s="26">
        <v>3</v>
      </c>
      <c r="CO137" s="26">
        <v>1</v>
      </c>
      <c r="CP137" s="26">
        <v>2</v>
      </c>
      <c r="CQ137" s="26">
        <v>3</v>
      </c>
      <c r="CR137" s="1" t="s">
        <v>5</v>
      </c>
      <c r="CS137" s="45" cm="1">
        <f t="array" ref="CS137:CW140">MMULT(_xlfn.ANCHORARRAY(CM137),CS130:CW134)</f>
        <v>1.0000010104640837</v>
      </c>
      <c r="CT137" s="45">
        <v>1.0000145233501221</v>
      </c>
      <c r="CU137" s="45">
        <v>1.0000097268457822</v>
      </c>
      <c r="CV137" s="45">
        <v>1.7268101290819735</v>
      </c>
      <c r="CW137" s="45">
        <v>1.9995812863021529</v>
      </c>
    </row>
    <row r="138" spans="32:101" ht="24" customHeight="1">
      <c r="AQ138" s="6"/>
      <c r="AR138" s="27">
        <v>-2</v>
      </c>
      <c r="AS138" s="27">
        <v>3</v>
      </c>
      <c r="AT138" s="27">
        <v>-1</v>
      </c>
      <c r="AU138" s="27">
        <v>2</v>
      </c>
      <c r="AV138" s="27">
        <v>3</v>
      </c>
      <c r="AW138" s="1" t="s">
        <v>14</v>
      </c>
      <c r="AY138">
        <v>1</v>
      </c>
      <c r="AZ138">
        <v>0.64</v>
      </c>
      <c r="BA138">
        <v>-0.2</v>
      </c>
      <c r="BB138">
        <v>-0.9</v>
      </c>
      <c r="BC138">
        <v>-0.9</v>
      </c>
      <c r="BD138" s="1" t="s">
        <v>5</v>
      </c>
      <c r="BE138" s="11">
        <v>-2</v>
      </c>
      <c r="BF138" s="11">
        <v>1.92</v>
      </c>
      <c r="BG138" s="11">
        <v>0.2</v>
      </c>
      <c r="BH138" s="11">
        <v>-1.8</v>
      </c>
      <c r="BI138" s="11">
        <v>-2.7</v>
      </c>
      <c r="CM138" s="27">
        <v>1</v>
      </c>
      <c r="CN138" s="27">
        <v>3</v>
      </c>
      <c r="CO138" s="27">
        <v>1</v>
      </c>
      <c r="CP138" s="27">
        <v>2</v>
      </c>
      <c r="CQ138" s="27">
        <v>3</v>
      </c>
      <c r="CR138" s="1" t="s">
        <v>5</v>
      </c>
      <c r="CS138" s="46">
        <v>1.0000010104640837</v>
      </c>
      <c r="CT138" s="46">
        <v>1.0000145233501221</v>
      </c>
      <c r="CU138" s="46">
        <v>1.0000097268457822</v>
      </c>
      <c r="CV138" s="46">
        <v>1.7268101290819735</v>
      </c>
      <c r="CW138" s="46">
        <v>1.9995812863021529</v>
      </c>
    </row>
    <row r="139" spans="32:101" ht="24" customHeight="1">
      <c r="AQ139" s="6"/>
      <c r="AR139" s="28">
        <v>7</v>
      </c>
      <c r="AS139" s="28">
        <v>2</v>
      </c>
      <c r="AT139" s="28">
        <v>5</v>
      </c>
      <c r="AU139" s="28">
        <v>0</v>
      </c>
      <c r="AV139" s="28">
        <v>2</v>
      </c>
      <c r="AW139" s="1" t="s">
        <v>14</v>
      </c>
      <c r="AY139">
        <v>1</v>
      </c>
      <c r="AZ139">
        <v>0.71</v>
      </c>
      <c r="BA139">
        <v>0.02</v>
      </c>
      <c r="BB139">
        <v>-0.7</v>
      </c>
      <c r="BC139">
        <v>-1</v>
      </c>
      <c r="BD139" s="1" t="s">
        <v>5</v>
      </c>
      <c r="BE139" s="12">
        <v>7</v>
      </c>
      <c r="BF139" s="12">
        <v>1.42</v>
      </c>
      <c r="BG139" s="12">
        <v>0.1</v>
      </c>
      <c r="BH139" s="12">
        <v>0</v>
      </c>
      <c r="BI139" s="12">
        <v>-2</v>
      </c>
      <c r="CM139" s="27">
        <v>3</v>
      </c>
      <c r="CN139" s="27">
        <v>4</v>
      </c>
      <c r="CO139" s="27">
        <v>3</v>
      </c>
      <c r="CP139" s="27">
        <v>2</v>
      </c>
      <c r="CQ139" s="27">
        <v>2</v>
      </c>
      <c r="CR139" s="1" t="s">
        <v>5</v>
      </c>
      <c r="CS139" s="46">
        <v>3.000000505232042</v>
      </c>
      <c r="CT139" s="46">
        <v>3.0000072616750613</v>
      </c>
      <c r="CU139" s="46">
        <v>3.0000048634228911</v>
      </c>
      <c r="CV139" s="46">
        <v>2.2731898709180269</v>
      </c>
      <c r="CW139" s="46">
        <v>2.0004187136978477</v>
      </c>
    </row>
    <row r="140" spans="32:101" ht="24" customHeight="1">
      <c r="CM140" s="28">
        <v>4</v>
      </c>
      <c r="CN140" s="28">
        <v>7</v>
      </c>
      <c r="CO140" s="28">
        <v>4</v>
      </c>
      <c r="CP140" s="28">
        <v>4</v>
      </c>
      <c r="CQ140" s="28">
        <v>5</v>
      </c>
      <c r="CR140" s="1" t="s">
        <v>5</v>
      </c>
      <c r="CS140" s="47">
        <v>4.0000015156961259</v>
      </c>
      <c r="CT140" s="47">
        <v>4.0000217850251829</v>
      </c>
      <c r="CU140" s="47">
        <v>4.0000145902686732</v>
      </c>
      <c r="CV140" s="47">
        <v>4</v>
      </c>
      <c r="CW140" s="47">
        <v>4.0000000000000009</v>
      </c>
    </row>
    <row r="143" spans="32:101" ht="24" customHeight="1">
      <c r="AJ143" s="6" t="s">
        <v>35</v>
      </c>
    </row>
    <row r="144" spans="32:101" ht="24" customHeight="1">
      <c r="AJ144" s="33" cm="1">
        <f t="array" ref="AJ144:AN146">_xlfn.ANCHORARRAY(AJ15)</f>
        <v>4</v>
      </c>
      <c r="AK144" s="33">
        <v>2</v>
      </c>
      <c r="AL144" s="33">
        <v>3</v>
      </c>
      <c r="AM144" s="33">
        <v>0</v>
      </c>
      <c r="AN144" s="33">
        <v>2</v>
      </c>
    </row>
    <row r="145" spans="32:101" ht="24" customHeight="1">
      <c r="AJ145" s="34">
        <v>3</v>
      </c>
      <c r="AK145" s="34">
        <v>0</v>
      </c>
      <c r="AL145" s="34">
        <v>2</v>
      </c>
      <c r="AM145" s="34">
        <v>0</v>
      </c>
      <c r="AN145" s="34">
        <v>0</v>
      </c>
      <c r="CL145" s="22" t="s">
        <v>55</v>
      </c>
      <c r="CM145" s="26" cm="1">
        <f t="array" ref="CM145:CQ150">_xlfn.ANCHORARRAY(AJ149)</f>
        <v>7</v>
      </c>
      <c r="CN145" s="26">
        <v>2</v>
      </c>
      <c r="CO145" s="26">
        <v>5</v>
      </c>
      <c r="CP145" s="26">
        <v>0</v>
      </c>
      <c r="CQ145" s="26">
        <v>2</v>
      </c>
    </row>
    <row r="146" spans="32:101" ht="24" customHeight="1">
      <c r="AJ146" s="35">
        <v>1</v>
      </c>
      <c r="AK146" s="35">
        <v>3</v>
      </c>
      <c r="AL146" s="35">
        <v>1</v>
      </c>
      <c r="AM146" s="35">
        <v>2</v>
      </c>
      <c r="AN146" s="35">
        <v>3</v>
      </c>
      <c r="CM146" s="27">
        <v>1</v>
      </c>
      <c r="CN146" s="27">
        <v>3</v>
      </c>
      <c r="CO146" s="27">
        <v>1</v>
      </c>
      <c r="CP146" s="27">
        <v>2</v>
      </c>
      <c r="CQ146" s="27">
        <v>3</v>
      </c>
    </row>
    <row r="147" spans="32:101" ht="24" customHeight="1">
      <c r="AJ147" s="1" t="s">
        <v>2</v>
      </c>
      <c r="AK147" s="1" t="s">
        <v>2</v>
      </c>
      <c r="AL147" s="1" t="s">
        <v>2</v>
      </c>
      <c r="AM147" s="1" t="s">
        <v>2</v>
      </c>
      <c r="AN147" s="1" t="s">
        <v>2</v>
      </c>
      <c r="CM147" s="27">
        <v>-2</v>
      </c>
      <c r="CN147" s="27">
        <v>3</v>
      </c>
      <c r="CO147" s="27">
        <v>-1</v>
      </c>
      <c r="CP147" s="27">
        <v>2</v>
      </c>
      <c r="CQ147" s="27">
        <v>3</v>
      </c>
    </row>
    <row r="148" spans="32:101" ht="24" customHeight="1">
      <c r="AF148" s="6" t="s">
        <v>56</v>
      </c>
      <c r="AJ148" s="6" t="s">
        <v>57</v>
      </c>
      <c r="CM148" s="27">
        <v>2</v>
      </c>
      <c r="CN148" s="27">
        <v>5</v>
      </c>
      <c r="CO148" s="27">
        <v>2</v>
      </c>
      <c r="CP148" s="27">
        <v>2</v>
      </c>
      <c r="CQ148" s="27">
        <v>5</v>
      </c>
    </row>
    <row r="149" spans="32:101" ht="24" customHeight="1">
      <c r="AF149" s="38">
        <v>1</v>
      </c>
      <c r="AG149" s="38">
        <v>1</v>
      </c>
      <c r="AH149" s="38">
        <v>0</v>
      </c>
      <c r="AI149" s="1" t="s">
        <v>5</v>
      </c>
      <c r="AJ149" s="13" cm="1">
        <f t="array" ref="AJ149:AN154">MMULT(AF149:AH154,_xlfn.ANCHORARRAY(AJ144))</f>
        <v>7</v>
      </c>
      <c r="AK149" s="13">
        <v>2</v>
      </c>
      <c r="AL149" s="13">
        <v>5</v>
      </c>
      <c r="AM149" s="13">
        <v>0</v>
      </c>
      <c r="AN149" s="13">
        <v>2</v>
      </c>
      <c r="CM149" s="27">
        <v>4</v>
      </c>
      <c r="CN149" s="27">
        <v>3</v>
      </c>
      <c r="CO149" s="27">
        <v>3</v>
      </c>
      <c r="CP149" s="27">
        <v>2</v>
      </c>
      <c r="CQ149" s="27">
        <v>3</v>
      </c>
    </row>
    <row r="150" spans="32:101" ht="24" customHeight="1">
      <c r="AF150" s="38">
        <v>0</v>
      </c>
      <c r="AG150" s="38">
        <v>0</v>
      </c>
      <c r="AH150" s="38">
        <v>1</v>
      </c>
      <c r="AJ150" s="14">
        <v>1</v>
      </c>
      <c r="AK150" s="14">
        <v>3</v>
      </c>
      <c r="AL150" s="14">
        <v>1</v>
      </c>
      <c r="AM150" s="14">
        <v>2</v>
      </c>
      <c r="AN150" s="14">
        <v>3</v>
      </c>
      <c r="CM150" s="28">
        <v>5</v>
      </c>
      <c r="CN150" s="28">
        <v>5</v>
      </c>
      <c r="CO150" s="28">
        <v>4</v>
      </c>
      <c r="CP150" s="28">
        <v>2</v>
      </c>
      <c r="CQ150" s="28">
        <v>5</v>
      </c>
    </row>
    <row r="151" spans="32:101" ht="24" customHeight="1">
      <c r="AF151" s="38">
        <v>0</v>
      </c>
      <c r="AG151" s="38">
        <v>-1</v>
      </c>
      <c r="AH151" s="38">
        <v>1</v>
      </c>
      <c r="AJ151" s="14">
        <v>-2</v>
      </c>
      <c r="AK151" s="14">
        <v>3</v>
      </c>
      <c r="AL151" s="14">
        <v>-1</v>
      </c>
      <c r="AM151" s="14">
        <v>2</v>
      </c>
      <c r="AN151" s="14">
        <v>3</v>
      </c>
      <c r="CL151" s="22" t="s">
        <v>58</v>
      </c>
      <c r="CM151" s="30" cm="1">
        <f t="array" ref="CM151:CQ156">BR157:BV162</f>
        <v>-1</v>
      </c>
      <c r="CN151" s="30">
        <v>-3.6044129544236894</v>
      </c>
      <c r="CO151" s="30">
        <v>-2.327892280477045</v>
      </c>
      <c r="CP151" s="30">
        <v>-0.28224001611973443</v>
      </c>
      <c r="CQ151" s="30">
        <v>3.6704074859237843</v>
      </c>
    </row>
    <row r="152" spans="32:101" ht="24" customHeight="1">
      <c r="AF152" s="38">
        <v>1</v>
      </c>
      <c r="AG152" s="38">
        <v>-1</v>
      </c>
      <c r="AH152" s="38">
        <v>1</v>
      </c>
      <c r="AI152" s="1" t="s">
        <v>5</v>
      </c>
      <c r="AJ152" s="14">
        <v>2</v>
      </c>
      <c r="AK152" s="14">
        <v>5</v>
      </c>
      <c r="AL152" s="14">
        <v>2</v>
      </c>
      <c r="AM152" s="14">
        <v>2</v>
      </c>
      <c r="AN152" s="14">
        <v>5</v>
      </c>
      <c r="CM152" s="31">
        <v>5</v>
      </c>
      <c r="CN152" s="31">
        <v>2.4293104748665741</v>
      </c>
      <c r="CO152" s="31">
        <v>1.1643668817479669</v>
      </c>
      <c r="CP152" s="31">
        <v>-2.7620526951173763</v>
      </c>
      <c r="CQ152" s="31">
        <v>-4.1308469660391545</v>
      </c>
    </row>
    <row r="153" spans="32:101" ht="24" customHeight="1">
      <c r="AF153" s="38">
        <v>0</v>
      </c>
      <c r="AG153" s="38">
        <v>1</v>
      </c>
      <c r="AH153" s="38">
        <v>1</v>
      </c>
      <c r="AI153" s="1" t="s">
        <v>5</v>
      </c>
      <c r="AJ153" s="14">
        <v>4</v>
      </c>
      <c r="AK153" s="14">
        <v>3</v>
      </c>
      <c r="AL153" s="14">
        <v>3</v>
      </c>
      <c r="AM153" s="14">
        <v>2</v>
      </c>
      <c r="AN153" s="14">
        <v>3</v>
      </c>
      <c r="CL153" s="2"/>
      <c r="CM153" s="31">
        <v>1</v>
      </c>
      <c r="CN153" s="31">
        <v>-1.3659492256682588</v>
      </c>
      <c r="CO153" s="31">
        <v>-3.9790082276999788</v>
      </c>
      <c r="CP153" s="31">
        <v>-2.8606554695888873</v>
      </c>
      <c r="CQ153" s="31">
        <v>-3.2226159994552668</v>
      </c>
    </row>
    <row r="154" spans="32:101" ht="24" customHeight="1">
      <c r="AF154" s="38">
        <v>1</v>
      </c>
      <c r="AG154" s="38">
        <v>0</v>
      </c>
      <c r="AH154" s="38">
        <v>1</v>
      </c>
      <c r="AI154" s="1" t="s">
        <v>5</v>
      </c>
      <c r="AJ154" s="15">
        <v>5</v>
      </c>
      <c r="AK154" s="15">
        <v>5</v>
      </c>
      <c r="AL154" s="15">
        <v>4</v>
      </c>
      <c r="AM154" s="15">
        <v>2</v>
      </c>
      <c r="AN154" s="15">
        <v>5</v>
      </c>
      <c r="CL154" s="2"/>
      <c r="CM154" s="31">
        <v>4</v>
      </c>
      <c r="CN154" s="31">
        <v>-6.2941969615792903E-2</v>
      </c>
      <c r="CO154" s="31">
        <v>-2.1092974268256821</v>
      </c>
      <c r="CP154" s="31">
        <v>-2</v>
      </c>
      <c r="CQ154" s="31">
        <v>-0.58639500938414324</v>
      </c>
    </row>
    <row r="155" spans="32:101" ht="24" customHeight="1">
      <c r="CM155" s="31">
        <v>-3</v>
      </c>
      <c r="CN155" s="31">
        <v>4.4934476256671303</v>
      </c>
      <c r="CO155" s="31">
        <v>4.3287337634959338</v>
      </c>
      <c r="CP155" s="31">
        <v>-0.83794730488262381</v>
      </c>
      <c r="CQ155" s="31">
        <v>-2.745765169804228</v>
      </c>
    </row>
    <row r="156" spans="32:101" ht="24" customHeight="1">
      <c r="AF156" s="6" t="s">
        <v>59</v>
      </c>
      <c r="AJ156" s="6" t="s">
        <v>60</v>
      </c>
      <c r="AR156" s="6" t="s">
        <v>61</v>
      </c>
      <c r="BK156" s="6" t="s">
        <v>10</v>
      </c>
      <c r="BR156" s="6" t="s">
        <v>62</v>
      </c>
      <c r="CM156" s="32">
        <v>5</v>
      </c>
      <c r="CN156" s="32">
        <v>5.6475695354009554</v>
      </c>
      <c r="CO156" s="32">
        <v>1.0797520569249948</v>
      </c>
      <c r="CP156" s="32">
        <v>6.0655469588887456E-2</v>
      </c>
      <c r="CQ156" s="32">
        <v>-4.8664304003268395</v>
      </c>
    </row>
    <row r="157" spans="32:101" ht="24" customHeight="1">
      <c r="AF157" s="38">
        <v>-1</v>
      </c>
      <c r="AG157" s="38">
        <v>1</v>
      </c>
      <c r="AH157" s="38">
        <v>0</v>
      </c>
      <c r="AI157" s="1" t="s">
        <v>5</v>
      </c>
      <c r="AJ157" s="13" cm="1">
        <f t="array" ref="AJ157:AN162">MMULT(AF157:AH162,_xlfn.ANCHORARRAY(AJ144))</f>
        <v>-1</v>
      </c>
      <c r="AK157" s="13">
        <v>-2</v>
      </c>
      <c r="AL157" s="13">
        <v>-1</v>
      </c>
      <c r="AM157" s="13">
        <v>0</v>
      </c>
      <c r="AN157" s="13">
        <v>-2</v>
      </c>
      <c r="AO157" s="22" t="s">
        <v>13</v>
      </c>
      <c r="AP157" s="1" t="s">
        <v>5</v>
      </c>
      <c r="AQ157" s="22" t="s">
        <v>13</v>
      </c>
      <c r="AR157" s="26" cm="1">
        <f t="array" ref="AR157:AV162">_xlfn.ANCHORARRAY(AJ157)</f>
        <v>-1</v>
      </c>
      <c r="AS157" s="26">
        <v>-2</v>
      </c>
      <c r="AT157" s="26">
        <v>-1</v>
      </c>
      <c r="AU157" s="26">
        <v>0</v>
      </c>
      <c r="AV157" s="26">
        <v>-2</v>
      </c>
      <c r="AW157" s="1" t="s">
        <v>14</v>
      </c>
      <c r="AX157" t="s">
        <v>15</v>
      </c>
      <c r="AY157">
        <v>1</v>
      </c>
      <c r="AZ157">
        <v>0.54</v>
      </c>
      <c r="BA157">
        <v>-0.4</v>
      </c>
      <c r="BB157">
        <v>-1</v>
      </c>
      <c r="BC157">
        <v>-0.7</v>
      </c>
      <c r="BD157" s="1" t="s">
        <v>5</v>
      </c>
      <c r="BE157" s="10" cm="1">
        <f t="array" ref="BE157:BI168">AR157:AV168*AY157:BC168</f>
        <v>-1</v>
      </c>
      <c r="BF157" s="10">
        <v>-1.08</v>
      </c>
      <c r="BG157" s="10">
        <v>0.4</v>
      </c>
      <c r="BH157" s="10">
        <v>0</v>
      </c>
      <c r="BI157" s="10">
        <v>1.4</v>
      </c>
      <c r="BK157" s="10" cm="1">
        <f t="array" ref="BK157:BO159">BE157:BI159+BE160:BI162</f>
        <v>-1</v>
      </c>
      <c r="BL157" s="10">
        <v>-3.6044129544236894</v>
      </c>
      <c r="BM157" s="10">
        <v>-2.327892280477045</v>
      </c>
      <c r="BN157" s="10">
        <v>-0.28224001611973443</v>
      </c>
      <c r="BO157" s="10">
        <v>3.6704074859237843</v>
      </c>
      <c r="BQ157" s="22" t="s">
        <v>16</v>
      </c>
      <c r="BR157" s="30" cm="1">
        <f t="array" ref="BR157:BV159">_xlfn.ANCHORARRAY(BK157)</f>
        <v>-1</v>
      </c>
      <c r="BS157" s="30">
        <v>-3.6044129544236894</v>
      </c>
      <c r="BT157" s="30">
        <v>-2.327892280477045</v>
      </c>
      <c r="BU157" s="30">
        <v>-0.28224001611973443</v>
      </c>
      <c r="BV157" s="30">
        <v>3.6704074859237843</v>
      </c>
      <c r="CM157" s="1" t="s">
        <v>2</v>
      </c>
      <c r="CN157" s="1" t="s">
        <v>2</v>
      </c>
      <c r="CO157" s="1" t="s">
        <v>2</v>
      </c>
      <c r="CP157" s="1" t="s">
        <v>2</v>
      </c>
      <c r="CQ157" s="1" t="s">
        <v>2</v>
      </c>
    </row>
    <row r="158" spans="32:101" ht="24" customHeight="1">
      <c r="AF158" s="38">
        <v>1</v>
      </c>
      <c r="AG158" s="38">
        <v>0</v>
      </c>
      <c r="AH158" s="38">
        <v>1</v>
      </c>
      <c r="AI158" s="1" t="s">
        <v>5</v>
      </c>
      <c r="AJ158" s="14">
        <v>5</v>
      </c>
      <c r="AK158" s="14">
        <v>5</v>
      </c>
      <c r="AL158" s="14">
        <v>4</v>
      </c>
      <c r="AM158" s="14">
        <v>2</v>
      </c>
      <c r="AN158" s="14">
        <v>5</v>
      </c>
      <c r="AO158" s="22"/>
      <c r="AP158" s="1" t="s">
        <v>5</v>
      </c>
      <c r="AQ158" s="22"/>
      <c r="AR158" s="27">
        <v>5</v>
      </c>
      <c r="AS158" s="27">
        <v>5</v>
      </c>
      <c r="AT158" s="27">
        <v>4</v>
      </c>
      <c r="AU158" s="27">
        <v>2</v>
      </c>
      <c r="AV158" s="27">
        <v>5</v>
      </c>
      <c r="AW158" s="1" t="s">
        <v>14</v>
      </c>
      <c r="AY158">
        <v>1</v>
      </c>
      <c r="AZ158">
        <v>0.64</v>
      </c>
      <c r="BA158">
        <v>-0.2</v>
      </c>
      <c r="BB158">
        <v>-0.9</v>
      </c>
      <c r="BC158">
        <v>-0.9</v>
      </c>
      <c r="BD158" s="1" t="s">
        <v>5</v>
      </c>
      <c r="BE158" s="11">
        <v>5</v>
      </c>
      <c r="BF158" s="11">
        <v>3.2</v>
      </c>
      <c r="BG158" s="11">
        <v>-0.8</v>
      </c>
      <c r="BH158" s="11">
        <v>-1.8</v>
      </c>
      <c r="BI158" s="11">
        <v>-4.5</v>
      </c>
      <c r="BK158" s="11">
        <v>5</v>
      </c>
      <c r="BL158" s="11">
        <v>2.4293104748665741</v>
      </c>
      <c r="BM158" s="11">
        <v>1.1643668817479669</v>
      </c>
      <c r="BN158" s="11">
        <v>-2.7620526951173763</v>
      </c>
      <c r="BO158" s="11">
        <v>-4.1308469660391545</v>
      </c>
      <c r="BQ158" s="2"/>
      <c r="BR158" s="31">
        <v>5</v>
      </c>
      <c r="BS158" s="31">
        <v>2.4293104748665741</v>
      </c>
      <c r="BT158" s="31">
        <v>1.1643668817479669</v>
      </c>
      <c r="BU158" s="31">
        <v>-2.7620526951173763</v>
      </c>
      <c r="BV158" s="31">
        <v>-4.1308469660391545</v>
      </c>
      <c r="BZ158" t="s">
        <v>63</v>
      </c>
      <c r="CF158" s="5" t="s">
        <v>64</v>
      </c>
      <c r="CM158" t="s">
        <v>65</v>
      </c>
      <c r="CS158" t="s">
        <v>66</v>
      </c>
    </row>
    <row r="159" spans="32:101" ht="24" customHeight="1">
      <c r="AF159" s="38">
        <v>0</v>
      </c>
      <c r="AG159" s="38">
        <v>0</v>
      </c>
      <c r="AH159" s="38">
        <v>1</v>
      </c>
      <c r="AI159" s="1" t="s">
        <v>5</v>
      </c>
      <c r="AJ159" s="14">
        <v>1</v>
      </c>
      <c r="AK159" s="14">
        <v>3</v>
      </c>
      <c r="AL159" s="14">
        <v>1</v>
      </c>
      <c r="AM159" s="14">
        <v>2</v>
      </c>
      <c r="AN159" s="14">
        <v>3</v>
      </c>
      <c r="AO159" s="6"/>
      <c r="AP159" s="1" t="s">
        <v>5</v>
      </c>
      <c r="AQ159" s="6"/>
      <c r="AR159" s="28">
        <v>1</v>
      </c>
      <c r="AS159" s="28">
        <v>3</v>
      </c>
      <c r="AT159" s="28">
        <v>1</v>
      </c>
      <c r="AU159" s="28">
        <v>2</v>
      </c>
      <c r="AV159" s="28">
        <v>3</v>
      </c>
      <c r="AW159" s="1" t="s">
        <v>14</v>
      </c>
      <c r="AY159">
        <v>1</v>
      </c>
      <c r="AZ159">
        <v>0.71</v>
      </c>
      <c r="BA159">
        <v>0.02</v>
      </c>
      <c r="BB159">
        <v>-0.7</v>
      </c>
      <c r="BC159">
        <v>-1</v>
      </c>
      <c r="BD159" s="1" t="s">
        <v>5</v>
      </c>
      <c r="BE159" s="12">
        <v>1</v>
      </c>
      <c r="BF159" s="12">
        <v>2.13</v>
      </c>
      <c r="BG159" s="12">
        <v>0.02</v>
      </c>
      <c r="BH159" s="12">
        <v>-1.4</v>
      </c>
      <c r="BI159" s="12">
        <v>-3</v>
      </c>
      <c r="BK159" s="12">
        <v>1</v>
      </c>
      <c r="BL159" s="12">
        <v>-1.3659492256682588</v>
      </c>
      <c r="BM159" s="12">
        <v>-3.9790082276999788</v>
      </c>
      <c r="BN159" s="12">
        <v>-2.8606554695888873</v>
      </c>
      <c r="BO159" s="12">
        <v>-3.2226159994552668</v>
      </c>
      <c r="BQ159" s="2"/>
      <c r="BR159" s="32">
        <v>1</v>
      </c>
      <c r="BS159" s="32">
        <v>-1.3659492256682588</v>
      </c>
      <c r="BT159" s="32">
        <v>-3.9790082276999788</v>
      </c>
      <c r="BU159" s="32">
        <v>-2.8606554695888873</v>
      </c>
      <c r="BV159" s="32">
        <v>-3.2226159994552668</v>
      </c>
      <c r="BZ159" s="48" cm="1">
        <f t="array" ref="BZ159:CK163">BZ131:CK135</f>
        <v>3</v>
      </c>
      <c r="CA159" s="52">
        <v>0</v>
      </c>
      <c r="CB159" s="52">
        <v>4</v>
      </c>
      <c r="CC159" s="52">
        <v>1</v>
      </c>
      <c r="CD159" s="52">
        <v>4</v>
      </c>
      <c r="CE159" s="49">
        <v>1</v>
      </c>
      <c r="CF159" s="42">
        <v>-0.8</v>
      </c>
      <c r="CG159" s="43">
        <v>-3.1465503226219504</v>
      </c>
      <c r="CH159" s="43">
        <v>0.06</v>
      </c>
      <c r="CI159" s="43">
        <v>1.8185948536513634</v>
      </c>
      <c r="CJ159" s="43">
        <v>0.38218344087398337</v>
      </c>
      <c r="CK159" s="44">
        <v>2.9992561707749843</v>
      </c>
      <c r="CL159" s="1" t="s">
        <v>5</v>
      </c>
      <c r="CM159" s="10" cm="1">
        <f t="array" ref="CM159:CQ163">MMULT(_xlfn.ANCHORARRAY(BZ159),CM145:CQ156)/SQRT(12)+_xlfn.ANCHORARRAY(CM47)</f>
        <v>12.196916553519893</v>
      </c>
      <c r="CN159" s="10">
        <v>15.501562837756945</v>
      </c>
      <c r="CO159" s="10">
        <v>8.0877247248260726</v>
      </c>
      <c r="CP159" s="10">
        <v>7.208094697461636</v>
      </c>
      <c r="CQ159" s="10">
        <v>9.5715328977552918</v>
      </c>
      <c r="CR159" s="1" t="s">
        <v>5</v>
      </c>
      <c r="CS159" s="10" cm="1">
        <f t="array" ref="CS159:CS163">_xlfn.LET(_xlpm.e,EXP(CM159:CM163), _xlpm.e/SUM(_xlpm.e))</f>
        <v>0.96093121467155029</v>
      </c>
      <c r="CT159" s="10" cm="1">
        <f t="array" ref="CT159:CT163">_xlfn.LET(_xlpm.e,EXP(CN159:CN163), _xlpm.e/SUM(_xlpm.e))</f>
        <v>0.91462596886374592</v>
      </c>
      <c r="CU159" s="10" cm="1">
        <f t="array" ref="CU159:CU163">_xlfn.LET(_xlpm.e,EXP(CO159:CO163), _xlpm.e/SUM(_xlpm.e))</f>
        <v>0.1621485805541413</v>
      </c>
      <c r="CV159" s="10" cm="1">
        <f t="array" ref="CV159:CV163">_xlfn.LET(_xlpm.e,EXP(CP159:CP163), _xlpm.e/SUM(_xlpm.e))</f>
        <v>0.99925998121739779</v>
      </c>
      <c r="CW159" s="10" cm="1">
        <f t="array" ref="CW159:CW163">_xlfn.LET(_xlpm.e,EXP(CQ159:CQ163), _xlpm.e/SUM(_xlpm.e))</f>
        <v>0.99993032037309293</v>
      </c>
    </row>
    <row r="160" spans="32:101" ht="24" customHeight="1">
      <c r="AF160" s="38">
        <v>0</v>
      </c>
      <c r="AG160" s="38">
        <v>1</v>
      </c>
      <c r="AH160" s="38">
        <v>1</v>
      </c>
      <c r="AI160" s="1" t="s">
        <v>5</v>
      </c>
      <c r="AJ160" s="14">
        <v>4</v>
      </c>
      <c r="AK160" s="14">
        <v>3</v>
      </c>
      <c r="AL160" s="14">
        <v>3</v>
      </c>
      <c r="AM160" s="14">
        <v>2</v>
      </c>
      <c r="AN160" s="14">
        <v>3</v>
      </c>
      <c r="AO160" s="22" t="s">
        <v>17</v>
      </c>
      <c r="AP160" s="1" t="s">
        <v>5</v>
      </c>
      <c r="AQ160" s="22" t="s">
        <v>17</v>
      </c>
      <c r="AR160" s="26">
        <v>4</v>
      </c>
      <c r="AS160" s="26">
        <v>3</v>
      </c>
      <c r="AT160" s="26">
        <v>3</v>
      </c>
      <c r="AU160" s="26">
        <v>2</v>
      </c>
      <c r="AV160" s="26">
        <v>3</v>
      </c>
      <c r="AW160" s="1" t="s">
        <v>14</v>
      </c>
      <c r="AX160" s="4" t="s">
        <v>18</v>
      </c>
      <c r="AY160">
        <v>0</v>
      </c>
      <c r="AZ160">
        <v>-0.8414709848078965</v>
      </c>
      <c r="BA160">
        <v>-0.90929742682568171</v>
      </c>
      <c r="BB160">
        <v>-0.14112000805986721</v>
      </c>
      <c r="BC160">
        <v>0.7568024953079282</v>
      </c>
      <c r="BD160" s="1" t="s">
        <v>5</v>
      </c>
      <c r="BE160" s="10">
        <v>0</v>
      </c>
      <c r="BF160" s="10">
        <v>-2.5244129544236893</v>
      </c>
      <c r="BG160" s="10">
        <v>-2.7278922804770449</v>
      </c>
      <c r="BH160" s="10">
        <v>-0.28224001611973443</v>
      </c>
      <c r="BI160" s="10">
        <v>2.2704074859237844</v>
      </c>
      <c r="BQ160" s="22" t="s">
        <v>19</v>
      </c>
      <c r="BR160" s="30" cm="1">
        <f t="array" ref="BR160:BV162">_xlfn.ANCHORARRAY(BK163)</f>
        <v>4</v>
      </c>
      <c r="BS160" s="30">
        <v>-6.2941969615792903E-2</v>
      </c>
      <c r="BT160" s="30">
        <v>-2.1092974268256821</v>
      </c>
      <c r="BU160" s="30">
        <v>-2</v>
      </c>
      <c r="BV160" s="30">
        <v>-0.58639500938414324</v>
      </c>
      <c r="BZ160" s="48">
        <v>2</v>
      </c>
      <c r="CA160" s="52">
        <v>0</v>
      </c>
      <c r="CB160" s="52">
        <v>4</v>
      </c>
      <c r="CC160" s="52">
        <v>2</v>
      </c>
      <c r="CD160" s="52">
        <v>4</v>
      </c>
      <c r="CE160" s="49">
        <v>2</v>
      </c>
      <c r="CF160" s="42">
        <v>-0.14112000805986721</v>
      </c>
      <c r="CG160" s="43">
        <v>-0.48102634755868812</v>
      </c>
      <c r="CH160" s="43">
        <v>-1.4303277347944436</v>
      </c>
      <c r="CI160" s="43">
        <v>-1</v>
      </c>
      <c r="CJ160" s="43">
        <v>-0.9</v>
      </c>
      <c r="CK160" s="44">
        <v>3.0327734794443728E-2</v>
      </c>
      <c r="CL160" s="1" t="s">
        <v>5</v>
      </c>
      <c r="CM160" s="11">
        <v>8.9943375428971617</v>
      </c>
      <c r="CN160" s="11">
        <v>13.130089602747406</v>
      </c>
      <c r="CO160" s="11">
        <v>9.730052427015087</v>
      </c>
      <c r="CP160" s="11">
        <v>-90.700008144247306</v>
      </c>
      <c r="CQ160" s="11">
        <v>-83.548845409265127</v>
      </c>
      <c r="CR160" s="1" t="s">
        <v>5</v>
      </c>
      <c r="CS160" s="11">
        <v>3.9068785328449769E-2</v>
      </c>
      <c r="CT160" s="11">
        <v>8.537403113625408E-2</v>
      </c>
      <c r="CU160" s="11">
        <v>0.83785141944585872</v>
      </c>
      <c r="CV160" s="11">
        <v>3.0111313270380145E-43</v>
      </c>
      <c r="CW160" s="11">
        <v>3.6166233839698589E-41</v>
      </c>
    </row>
    <row r="161" spans="32:101" ht="24" customHeight="1">
      <c r="AF161" s="38">
        <v>-1</v>
      </c>
      <c r="AG161" s="38">
        <v>0</v>
      </c>
      <c r="AH161" s="38">
        <v>1</v>
      </c>
      <c r="AJ161" s="14">
        <v>-3</v>
      </c>
      <c r="AK161" s="14">
        <v>1</v>
      </c>
      <c r="AL161" s="14">
        <v>-2</v>
      </c>
      <c r="AM161" s="14">
        <v>2</v>
      </c>
      <c r="AN161" s="14">
        <v>1</v>
      </c>
      <c r="AP161" s="1" t="s">
        <v>5</v>
      </c>
      <c r="AQ161" s="6"/>
      <c r="AR161" s="27">
        <v>-3</v>
      </c>
      <c r="AS161" s="27">
        <v>1</v>
      </c>
      <c r="AT161" s="27">
        <v>-2</v>
      </c>
      <c r="AU161" s="27">
        <v>2</v>
      </c>
      <c r="AV161" s="27">
        <v>1</v>
      </c>
      <c r="AW161" s="1"/>
      <c r="AY161">
        <v>0</v>
      </c>
      <c r="AZ161">
        <v>-0.77068952513342615</v>
      </c>
      <c r="BA161">
        <v>-0.98218344087398346</v>
      </c>
      <c r="BB161">
        <v>-0.48102634755868812</v>
      </c>
      <c r="BC161">
        <v>0.36915303396084564</v>
      </c>
      <c r="BD161" s="1" t="s">
        <v>5</v>
      </c>
      <c r="BE161" s="11">
        <v>0</v>
      </c>
      <c r="BF161" s="11">
        <v>-0.77068952513342615</v>
      </c>
      <c r="BG161" s="11">
        <v>1.9643668817479669</v>
      </c>
      <c r="BH161" s="11">
        <v>-0.96205269511737623</v>
      </c>
      <c r="BI161" s="11">
        <v>0.36915303396084564</v>
      </c>
      <c r="BR161" s="31">
        <v>-3</v>
      </c>
      <c r="BS161" s="31">
        <v>4.4934476256671303</v>
      </c>
      <c r="BT161" s="31">
        <v>4.3287337634959338</v>
      </c>
      <c r="BU161" s="31">
        <v>-0.83794730488262381</v>
      </c>
      <c r="BV161" s="31">
        <v>-2.745765169804228</v>
      </c>
      <c r="BZ161" s="48">
        <v>2</v>
      </c>
      <c r="CA161" s="52">
        <v>0</v>
      </c>
      <c r="CB161" s="52">
        <v>2</v>
      </c>
      <c r="CC161" s="52">
        <v>3</v>
      </c>
      <c r="CD161" s="52">
        <v>2</v>
      </c>
      <c r="CE161" s="49">
        <v>3</v>
      </c>
      <c r="CF161" s="42">
        <v>-2.0999999999999996</v>
      </c>
      <c r="CG161" s="43">
        <v>0.57661213584338256</v>
      </c>
      <c r="CH161" s="43">
        <v>-4</v>
      </c>
      <c r="CI161" s="43">
        <v>-2.2704074859237844</v>
      </c>
      <c r="CJ161" s="43">
        <v>-3.9691530339608456</v>
      </c>
      <c r="CK161" s="44">
        <v>0.17809279956421351</v>
      </c>
      <c r="CL161" s="1" t="s">
        <v>5</v>
      </c>
      <c r="CM161" s="11">
        <v>-87.38508314990996</v>
      </c>
      <c r="CN161" s="11">
        <v>-87.371228393169005</v>
      </c>
      <c r="CO161" s="11">
        <v>-88.08468880416504</v>
      </c>
      <c r="CP161" s="11">
        <v>-88.937896335772109</v>
      </c>
      <c r="CQ161" s="11">
        <v>-82.632220405443675</v>
      </c>
      <c r="CR161" s="1" t="s">
        <v>5</v>
      </c>
      <c r="CS161" s="11">
        <v>5.4297437370023679E-44</v>
      </c>
      <c r="CT161" s="11">
        <v>1.9237913094317457E-45</v>
      </c>
      <c r="CU161" s="11">
        <v>2.7718175758376141E-43</v>
      </c>
      <c r="CV161" s="11">
        <v>1.7539012277349145E-42</v>
      </c>
      <c r="CW161" s="11">
        <v>9.0445813044755609E-41</v>
      </c>
    </row>
    <row r="162" spans="32:101" ht="24" customHeight="1" thickBot="1">
      <c r="AF162" s="38">
        <v>1</v>
      </c>
      <c r="AG162" s="38">
        <v>0</v>
      </c>
      <c r="AH162" s="38">
        <v>1</v>
      </c>
      <c r="AJ162" s="15">
        <v>5</v>
      </c>
      <c r="AK162" s="15">
        <v>5</v>
      </c>
      <c r="AL162" s="15">
        <v>4</v>
      </c>
      <c r="AM162" s="15">
        <v>2</v>
      </c>
      <c r="AN162" s="15">
        <v>5</v>
      </c>
      <c r="AP162" s="1" t="s">
        <v>5</v>
      </c>
      <c r="AQ162" s="6"/>
      <c r="AR162" s="28">
        <v>5</v>
      </c>
      <c r="AS162" s="28">
        <v>5</v>
      </c>
      <c r="AT162" s="28">
        <v>4</v>
      </c>
      <c r="AU162" s="28">
        <v>2</v>
      </c>
      <c r="AV162" s="28">
        <v>5</v>
      </c>
      <c r="AW162" s="1" t="s">
        <v>14</v>
      </c>
      <c r="AY162">
        <v>0</v>
      </c>
      <c r="AZ162">
        <v>-0.69918984513365179</v>
      </c>
      <c r="BA162">
        <v>-0.99975205692499469</v>
      </c>
      <c r="BB162">
        <v>-0.73032773479444368</v>
      </c>
      <c r="BC162">
        <v>-4.4523199891053376E-2</v>
      </c>
      <c r="BD162" s="1" t="s">
        <v>5</v>
      </c>
      <c r="BE162" s="25">
        <v>0</v>
      </c>
      <c r="BF162" s="25">
        <v>-3.4959492256682587</v>
      </c>
      <c r="BG162" s="25">
        <v>-3.9990082276999788</v>
      </c>
      <c r="BH162" s="25">
        <v>-1.4606554695888874</v>
      </c>
      <c r="BI162" s="25">
        <v>-0.22261599945526689</v>
      </c>
      <c r="BK162" s="6" t="s">
        <v>20</v>
      </c>
      <c r="BR162" s="32">
        <v>5</v>
      </c>
      <c r="BS162" s="32">
        <v>5.6475695354009554</v>
      </c>
      <c r="BT162" s="32">
        <v>1.0797520569249948</v>
      </c>
      <c r="BU162" s="32">
        <v>6.0655469588887456E-2</v>
      </c>
      <c r="BV162" s="32">
        <v>-4.8664304003268395</v>
      </c>
      <c r="BZ162" s="48">
        <v>0</v>
      </c>
      <c r="CA162" s="52">
        <v>0</v>
      </c>
      <c r="CB162" s="52">
        <v>0</v>
      </c>
      <c r="CC162" s="52">
        <v>0</v>
      </c>
      <c r="CD162" s="52">
        <v>0</v>
      </c>
      <c r="CE162" s="49">
        <v>0</v>
      </c>
      <c r="CF162" s="42">
        <v>0</v>
      </c>
      <c r="CG162" s="43">
        <v>0</v>
      </c>
      <c r="CH162" s="43">
        <v>0</v>
      </c>
      <c r="CI162" s="43">
        <v>0</v>
      </c>
      <c r="CJ162" s="43">
        <v>0</v>
      </c>
      <c r="CK162" s="44">
        <v>0</v>
      </c>
      <c r="CL162" s="1" t="s">
        <v>5</v>
      </c>
      <c r="CM162" s="11">
        <v>-100</v>
      </c>
      <c r="CN162" s="11">
        <v>-100</v>
      </c>
      <c r="CO162" s="11">
        <v>-100</v>
      </c>
      <c r="CP162" s="11">
        <v>0</v>
      </c>
      <c r="CQ162" s="11">
        <v>0</v>
      </c>
      <c r="CR162" s="1" t="s">
        <v>5</v>
      </c>
      <c r="CS162" s="11">
        <v>1.8038090245073494E-49</v>
      </c>
      <c r="CT162" s="11">
        <v>6.3030700893181281E-51</v>
      </c>
      <c r="CU162" s="11">
        <v>1.8535774688484987E-48</v>
      </c>
      <c r="CV162" s="11">
        <v>7.4001878260220835E-4</v>
      </c>
      <c r="CW162" s="11">
        <v>6.9679626907109905E-5</v>
      </c>
    </row>
    <row r="163" spans="32:101" ht="24" customHeight="1" thickTop="1">
      <c r="AQ163" s="22" t="s">
        <v>13</v>
      </c>
      <c r="AR163" s="26" cm="1">
        <f t="array" ref="AR163:AV168">_xlfn.ANCHORARRAY(AJ157)</f>
        <v>-1</v>
      </c>
      <c r="AS163" s="26">
        <v>-2</v>
      </c>
      <c r="AT163" s="26">
        <v>-1</v>
      </c>
      <c r="AU163" s="26">
        <v>0</v>
      </c>
      <c r="AV163" s="26">
        <v>-2</v>
      </c>
      <c r="AW163" s="1" t="s">
        <v>14</v>
      </c>
      <c r="AX163" s="4" t="s">
        <v>21</v>
      </c>
      <c r="AY163">
        <v>0</v>
      </c>
      <c r="AZ163">
        <v>0.8414709848078965</v>
      </c>
      <c r="BA163">
        <v>0.90929742682568171</v>
      </c>
      <c r="BB163">
        <v>0.14112000805986721</v>
      </c>
      <c r="BC163">
        <v>-0.7568024953079282</v>
      </c>
      <c r="BD163" s="1" t="s">
        <v>5</v>
      </c>
      <c r="BE163" s="11">
        <v>0</v>
      </c>
      <c r="BF163" s="11">
        <v>-1.682941969615793</v>
      </c>
      <c r="BG163" s="11">
        <v>-0.90929742682568171</v>
      </c>
      <c r="BH163" s="11">
        <v>0</v>
      </c>
      <c r="BI163" s="11">
        <v>1.5136049906158564</v>
      </c>
      <c r="BK163" s="10" cm="1">
        <f t="array" ref="BK163:BO165">BE163:BI165+BE166:BI168</f>
        <v>4</v>
      </c>
      <c r="BL163" s="10">
        <v>-6.2941969615792903E-2</v>
      </c>
      <c r="BM163" s="10">
        <v>-2.1092974268256821</v>
      </c>
      <c r="BN163" s="10">
        <v>-2</v>
      </c>
      <c r="BO163" s="10">
        <v>-0.58639500938414324</v>
      </c>
      <c r="BZ163" s="48">
        <v>0</v>
      </c>
      <c r="CA163" s="52">
        <v>0</v>
      </c>
      <c r="CB163" s="52">
        <v>0</v>
      </c>
      <c r="CC163" s="52">
        <v>0</v>
      </c>
      <c r="CD163" s="52">
        <v>0</v>
      </c>
      <c r="CE163" s="49">
        <v>0</v>
      </c>
      <c r="CF163" s="42">
        <v>0</v>
      </c>
      <c r="CG163" s="43">
        <v>0</v>
      </c>
      <c r="CH163" s="43">
        <v>0</v>
      </c>
      <c r="CI163" s="43">
        <v>0</v>
      </c>
      <c r="CJ163" s="43">
        <v>0</v>
      </c>
      <c r="CK163" s="44">
        <v>0</v>
      </c>
      <c r="CL163" s="1" t="s">
        <v>5</v>
      </c>
      <c r="CM163" s="12">
        <v>-100</v>
      </c>
      <c r="CN163" s="12">
        <v>-100</v>
      </c>
      <c r="CO163" s="12">
        <v>-100</v>
      </c>
      <c r="CP163" s="12">
        <v>-100</v>
      </c>
      <c r="CQ163" s="12">
        <v>-100</v>
      </c>
      <c r="CR163" s="1" t="s">
        <v>5</v>
      </c>
      <c r="CS163" s="12">
        <v>1.8038090245073494E-49</v>
      </c>
      <c r="CT163" s="12">
        <v>6.3030700893181281E-51</v>
      </c>
      <c r="CU163" s="12">
        <v>1.8535774688484987E-48</v>
      </c>
      <c r="CV163" s="12">
        <v>2.7529260949626608E-47</v>
      </c>
      <c r="CW163" s="12">
        <v>2.5921350607523459E-48</v>
      </c>
    </row>
    <row r="164" spans="32:101" ht="24" customHeight="1">
      <c r="AQ164" s="22"/>
      <c r="AR164" s="27">
        <v>5</v>
      </c>
      <c r="AS164" s="27">
        <v>5</v>
      </c>
      <c r="AT164" s="27">
        <v>4</v>
      </c>
      <c r="AU164" s="27">
        <v>2</v>
      </c>
      <c r="AV164" s="27">
        <v>5</v>
      </c>
      <c r="AW164" s="1" t="s">
        <v>14</v>
      </c>
      <c r="AY164">
        <v>0</v>
      </c>
      <c r="AZ164">
        <v>0.77068952513342615</v>
      </c>
      <c r="BA164">
        <v>0.98218344087398346</v>
      </c>
      <c r="BB164">
        <v>0.48102634755868812</v>
      </c>
      <c r="BC164">
        <v>-0.36915303396084564</v>
      </c>
      <c r="BD164" s="1" t="s">
        <v>5</v>
      </c>
      <c r="BE164" s="11">
        <v>0</v>
      </c>
      <c r="BF164" s="11">
        <v>3.8534476256671306</v>
      </c>
      <c r="BG164" s="11">
        <v>3.9287337634959338</v>
      </c>
      <c r="BH164" s="11">
        <v>0.96205269511737623</v>
      </c>
      <c r="BI164" s="11">
        <v>-1.8457651698042281</v>
      </c>
      <c r="BK164" s="11">
        <v>-3</v>
      </c>
      <c r="BL164" s="11">
        <v>4.4934476256671303</v>
      </c>
      <c r="BM164" s="11">
        <v>4.3287337634959338</v>
      </c>
      <c r="BN164" s="11">
        <v>-0.83794730488262381</v>
      </c>
      <c r="BO164" s="11">
        <v>-2.745765169804228</v>
      </c>
      <c r="CS164" s="1" t="s">
        <v>2</v>
      </c>
      <c r="CT164" s="1" t="s">
        <v>2</v>
      </c>
      <c r="CU164" s="1" t="s">
        <v>2</v>
      </c>
      <c r="CV164" s="1" t="s">
        <v>2</v>
      </c>
      <c r="CW164" s="1" t="s">
        <v>2</v>
      </c>
    </row>
    <row r="165" spans="32:101" ht="24" customHeight="1">
      <c r="AQ165" s="6"/>
      <c r="AR165" s="28">
        <v>1</v>
      </c>
      <c r="AS165" s="28">
        <v>3</v>
      </c>
      <c r="AT165" s="28">
        <v>1</v>
      </c>
      <c r="AU165" s="28">
        <v>2</v>
      </c>
      <c r="AV165" s="28">
        <v>3</v>
      </c>
      <c r="AW165" s="1" t="s">
        <v>14</v>
      </c>
      <c r="AY165">
        <v>0</v>
      </c>
      <c r="AZ165">
        <v>0.69918984513365179</v>
      </c>
      <c r="BA165">
        <v>0.99975205692499469</v>
      </c>
      <c r="BB165">
        <v>0.73032773479444368</v>
      </c>
      <c r="BC165">
        <v>4.4523199891053376E-2</v>
      </c>
      <c r="BD165" s="1" t="s">
        <v>5</v>
      </c>
      <c r="BE165" s="12">
        <v>0</v>
      </c>
      <c r="BF165" s="12">
        <v>2.0975695354009556</v>
      </c>
      <c r="BG165" s="12">
        <v>0.99975205692499469</v>
      </c>
      <c r="BH165" s="12">
        <v>1.4606554695888874</v>
      </c>
      <c r="BI165" s="12">
        <v>0.13356959967316012</v>
      </c>
      <c r="BK165" s="12">
        <v>5</v>
      </c>
      <c r="BL165" s="12">
        <v>5.6475695354009554</v>
      </c>
      <c r="BM165" s="12">
        <v>1.0797520569249948</v>
      </c>
      <c r="BN165" s="12">
        <v>6.0655469588887456E-2</v>
      </c>
      <c r="BO165" s="12">
        <v>-4.8664304003268395</v>
      </c>
      <c r="CM165" t="s">
        <v>51</v>
      </c>
      <c r="CS165" t="s">
        <v>67</v>
      </c>
    </row>
    <row r="166" spans="32:101" ht="24" customHeight="1">
      <c r="AQ166" s="23" t="s">
        <v>17</v>
      </c>
      <c r="AR166" s="26">
        <v>4</v>
      </c>
      <c r="AS166" s="26">
        <v>3</v>
      </c>
      <c r="AT166" s="26">
        <v>3</v>
      </c>
      <c r="AU166" s="26">
        <v>2</v>
      </c>
      <c r="AV166" s="26">
        <v>3</v>
      </c>
      <c r="AW166" s="1" t="s">
        <v>14</v>
      </c>
      <c r="AX166" t="s">
        <v>15</v>
      </c>
      <c r="AY166">
        <v>1</v>
      </c>
      <c r="AZ166">
        <v>0.54</v>
      </c>
      <c r="BA166">
        <v>-0.4</v>
      </c>
      <c r="BB166">
        <v>-1</v>
      </c>
      <c r="BC166">
        <v>-0.7</v>
      </c>
      <c r="BD166" s="1" t="s">
        <v>5</v>
      </c>
      <c r="BE166" s="11">
        <v>4</v>
      </c>
      <c r="BF166" s="11">
        <v>1.62</v>
      </c>
      <c r="BG166" s="11">
        <v>-1.2000000000000002</v>
      </c>
      <c r="BH166" s="11">
        <v>-2</v>
      </c>
      <c r="BI166" s="11">
        <v>-2.0999999999999996</v>
      </c>
      <c r="CM166" s="26" cm="1">
        <f t="array" ref="CM166:CQ169">_xlfn.ANCHORARRAY(AJ80)</f>
        <v>1</v>
      </c>
      <c r="CN166" s="26">
        <v>3</v>
      </c>
      <c r="CO166" s="26">
        <v>1</v>
      </c>
      <c r="CP166" s="26">
        <v>2</v>
      </c>
      <c r="CQ166" s="26">
        <v>3</v>
      </c>
      <c r="CR166" s="1" t="s">
        <v>5</v>
      </c>
      <c r="CS166" s="45" cm="1">
        <f t="array" ref="CS166:CW169">MMULT(_xlfn.ANCHORARRAY(CM166),CS159:CW163)</f>
        <v>1.0781375706568996</v>
      </c>
      <c r="CT166" s="45">
        <v>1.1707480622725082</v>
      </c>
      <c r="CU166" s="45">
        <v>2.6757028388917177</v>
      </c>
      <c r="CV166" s="45">
        <v>1.0007400187826021</v>
      </c>
      <c r="CW166" s="45">
        <v>1.0000696796269071</v>
      </c>
    </row>
    <row r="167" spans="32:101" ht="24" customHeight="1">
      <c r="AQ167" s="6"/>
      <c r="AR167" s="27">
        <v>-3</v>
      </c>
      <c r="AS167" s="27">
        <v>1</v>
      </c>
      <c r="AT167" s="27">
        <v>-2</v>
      </c>
      <c r="AU167" s="27">
        <v>2</v>
      </c>
      <c r="AV167" s="27">
        <v>1</v>
      </c>
      <c r="AW167" s="1" t="s">
        <v>14</v>
      </c>
      <c r="AY167">
        <v>1</v>
      </c>
      <c r="AZ167">
        <v>0.64</v>
      </c>
      <c r="BA167">
        <v>-0.2</v>
      </c>
      <c r="BB167">
        <v>-0.9</v>
      </c>
      <c r="BC167">
        <v>-0.9</v>
      </c>
      <c r="BD167" s="1" t="s">
        <v>5</v>
      </c>
      <c r="BE167" s="11">
        <v>-3</v>
      </c>
      <c r="BF167" s="11">
        <v>0.64</v>
      </c>
      <c r="BG167" s="11">
        <v>0.4</v>
      </c>
      <c r="BH167" s="11">
        <v>-1.8</v>
      </c>
      <c r="BI167" s="11">
        <v>-0.9</v>
      </c>
      <c r="CM167" s="27">
        <v>1</v>
      </c>
      <c r="CN167" s="27">
        <v>3</v>
      </c>
      <c r="CO167" s="27">
        <v>1</v>
      </c>
      <c r="CP167" s="27">
        <v>2</v>
      </c>
      <c r="CQ167" s="27">
        <v>3</v>
      </c>
      <c r="CR167" s="1" t="s">
        <v>5</v>
      </c>
      <c r="CS167" s="46">
        <v>1.0781375706568996</v>
      </c>
      <c r="CT167" s="46">
        <v>1.1707480622725082</v>
      </c>
      <c r="CU167" s="46">
        <v>2.6757028388917177</v>
      </c>
      <c r="CV167" s="46">
        <v>1.0007400187826021</v>
      </c>
      <c r="CW167" s="46">
        <v>1.0000696796269071</v>
      </c>
    </row>
    <row r="168" spans="32:101" ht="24" customHeight="1">
      <c r="AQ168" s="6"/>
      <c r="AR168" s="28">
        <v>5</v>
      </c>
      <c r="AS168" s="28">
        <v>5</v>
      </c>
      <c r="AT168" s="28">
        <v>4</v>
      </c>
      <c r="AU168" s="28">
        <v>2</v>
      </c>
      <c r="AV168" s="28">
        <v>5</v>
      </c>
      <c r="AW168" s="1" t="s">
        <v>14</v>
      </c>
      <c r="AY168">
        <v>1</v>
      </c>
      <c r="AZ168">
        <v>0.71</v>
      </c>
      <c r="BA168">
        <v>0.02</v>
      </c>
      <c r="BB168">
        <v>-0.7</v>
      </c>
      <c r="BC168">
        <v>-1</v>
      </c>
      <c r="BD168" s="1" t="s">
        <v>5</v>
      </c>
      <c r="BE168" s="12">
        <v>5</v>
      </c>
      <c r="BF168" s="12">
        <v>3.55</v>
      </c>
      <c r="BG168" s="12">
        <v>0.08</v>
      </c>
      <c r="BH168" s="12">
        <v>-1.4</v>
      </c>
      <c r="BI168" s="12">
        <v>-5</v>
      </c>
      <c r="CM168" s="27">
        <v>3</v>
      </c>
      <c r="CN168" s="27">
        <v>4</v>
      </c>
      <c r="CO168" s="27">
        <v>3</v>
      </c>
      <c r="CP168" s="27">
        <v>2</v>
      </c>
      <c r="CQ168" s="27">
        <v>2</v>
      </c>
      <c r="CR168" s="1" t="s">
        <v>5</v>
      </c>
      <c r="CS168" s="46">
        <v>3.0390687853284502</v>
      </c>
      <c r="CT168" s="46">
        <v>3.0853740311362543</v>
      </c>
      <c r="CU168" s="46">
        <v>3.8378514194458591</v>
      </c>
      <c r="CV168" s="46">
        <v>2.9992599812173975</v>
      </c>
      <c r="CW168" s="46">
        <v>2.9999303203730929</v>
      </c>
    </row>
    <row r="169" spans="32:101" ht="24" customHeight="1">
      <c r="CM169" s="28">
        <v>4</v>
      </c>
      <c r="CN169" s="28">
        <v>7</v>
      </c>
      <c r="CO169" s="28">
        <v>4</v>
      </c>
      <c r="CP169" s="28">
        <v>4</v>
      </c>
      <c r="CQ169" s="28">
        <v>5</v>
      </c>
      <c r="CR169" s="1" t="s">
        <v>5</v>
      </c>
      <c r="CS169" s="47">
        <v>4.1172063559853491</v>
      </c>
      <c r="CT169" s="47">
        <v>4.256122093408762</v>
      </c>
      <c r="CU169" s="47">
        <v>6.5135542583375763</v>
      </c>
      <c r="CV169" s="47">
        <v>4</v>
      </c>
      <c r="CW169" s="47">
        <v>4</v>
      </c>
    </row>
    <row r="175" spans="32:101" ht="24" customHeight="1">
      <c r="AF175" s="6"/>
      <c r="AG175" s="6"/>
      <c r="AH175" s="6" t="s">
        <v>68</v>
      </c>
      <c r="AJ175" s="6" t="s">
        <v>69</v>
      </c>
    </row>
    <row r="176" spans="32:101" ht="24" customHeight="1">
      <c r="AF176" s="6"/>
      <c r="AG176" s="6"/>
      <c r="AH176" s="6">
        <v>1</v>
      </c>
      <c r="AJ176" s="53" cm="1">
        <f t="array" ref="AJ176:AN179">_xlfn.ANCHORARRAY(CS108)</f>
        <v>2.9999140564753928</v>
      </c>
      <c r="AK176" s="53">
        <v>2.9989862826514799</v>
      </c>
      <c r="AL176" s="53">
        <v>2.9957356286095491</v>
      </c>
      <c r="AM176" s="53">
        <v>1.6804253064390919</v>
      </c>
      <c r="AN176" s="53">
        <v>1.9926207540889103</v>
      </c>
    </row>
    <row r="177" spans="23:40" ht="24" customHeight="1">
      <c r="AF177" s="6"/>
      <c r="AG177" s="6"/>
      <c r="AH177" s="6"/>
      <c r="AJ177" s="54">
        <v>2.9999140564753928</v>
      </c>
      <c r="AK177" s="54">
        <v>2.9989862826514799</v>
      </c>
      <c r="AL177" s="54">
        <v>2.9957356286095491</v>
      </c>
      <c r="AM177" s="54">
        <v>1.6804253064390919</v>
      </c>
      <c r="AN177" s="54">
        <v>1.9926207540889103</v>
      </c>
    </row>
    <row r="178" spans="23:40" ht="24" customHeight="1">
      <c r="AF178" s="6"/>
      <c r="AG178" s="6"/>
      <c r="AH178" s="6"/>
      <c r="AJ178" s="54">
        <v>3.9999570282376964</v>
      </c>
      <c r="AK178" s="54">
        <v>3.9994931413257402</v>
      </c>
      <c r="AL178" s="54">
        <v>3.9978678143047741</v>
      </c>
      <c r="AM178" s="54">
        <v>2.3195746935609081</v>
      </c>
      <c r="AN178" s="54">
        <v>2.0073792459110895</v>
      </c>
    </row>
    <row r="179" spans="23:40" ht="24" customHeight="1">
      <c r="AF179" s="6"/>
      <c r="AG179" s="6"/>
      <c r="AH179" s="6"/>
      <c r="AJ179" s="55">
        <v>6.9998710847130896</v>
      </c>
      <c r="AK179" s="55">
        <v>6.998479423977221</v>
      </c>
      <c r="AL179" s="55">
        <v>6.9936034429143241</v>
      </c>
      <c r="AM179" s="55">
        <v>4</v>
      </c>
      <c r="AN179" s="55">
        <v>4</v>
      </c>
    </row>
    <row r="180" spans="23:40" ht="24" customHeight="1">
      <c r="AF180" s="6"/>
      <c r="AG180" s="6"/>
      <c r="AH180" s="6">
        <v>2</v>
      </c>
      <c r="AJ180" s="53" cm="1">
        <f t="array" ref="AJ180:AN183">_xlfn.ANCHORARRAY(CS137)</f>
        <v>1.0000010104640837</v>
      </c>
      <c r="AK180" s="53">
        <v>1.0000145233501221</v>
      </c>
      <c r="AL180" s="53">
        <v>1.0000097268457822</v>
      </c>
      <c r="AM180" s="53">
        <v>1.7268101290819735</v>
      </c>
      <c r="AN180" s="53">
        <v>1.9995812863021529</v>
      </c>
    </row>
    <row r="181" spans="23:40" ht="24" customHeight="1">
      <c r="AJ181" s="54">
        <v>1.0000010104640837</v>
      </c>
      <c r="AK181" s="54">
        <v>1.0000145233501221</v>
      </c>
      <c r="AL181" s="54">
        <v>1.0000097268457822</v>
      </c>
      <c r="AM181" s="54">
        <v>1.7268101290819735</v>
      </c>
      <c r="AN181" s="54">
        <v>1.9995812863021529</v>
      </c>
    </row>
    <row r="182" spans="23:40" ht="24" customHeight="1">
      <c r="AJ182" s="54">
        <v>3.000000505232042</v>
      </c>
      <c r="AK182" s="54">
        <v>3.0000072616750613</v>
      </c>
      <c r="AL182" s="54">
        <v>3.0000048634228911</v>
      </c>
      <c r="AM182" s="54">
        <v>2.2731898709180269</v>
      </c>
      <c r="AN182" s="54">
        <v>2.0004187136978477</v>
      </c>
    </row>
    <row r="183" spans="23:40" ht="24" customHeight="1">
      <c r="AJ183" s="55">
        <v>4.0000015156961259</v>
      </c>
      <c r="AK183" s="55">
        <v>4.0000217850251829</v>
      </c>
      <c r="AL183" s="55">
        <v>4.0000145902686732</v>
      </c>
      <c r="AM183" s="55">
        <v>4</v>
      </c>
      <c r="AN183" s="55">
        <v>4.0000000000000009</v>
      </c>
    </row>
    <row r="184" spans="23:40" ht="24" customHeight="1">
      <c r="AF184" s="6"/>
      <c r="AG184" s="6"/>
      <c r="AH184" s="6">
        <v>3</v>
      </c>
      <c r="AJ184" s="53" cm="1">
        <f t="array" ref="AJ184:AN187">_xlfn.ANCHORARRAY(CS166)</f>
        <v>1.0781375706568996</v>
      </c>
      <c r="AK184" s="53">
        <v>1.1707480622725082</v>
      </c>
      <c r="AL184" s="53">
        <v>2.6757028388917177</v>
      </c>
      <c r="AM184" s="53">
        <v>1.0007400187826021</v>
      </c>
      <c r="AN184" s="53">
        <v>1.0000696796269071</v>
      </c>
    </row>
    <row r="185" spans="23:40" ht="24" customHeight="1">
      <c r="AJ185" s="54">
        <v>1.0781375706568996</v>
      </c>
      <c r="AK185" s="54">
        <v>1.1707480622725082</v>
      </c>
      <c r="AL185" s="54">
        <v>2.6757028388917177</v>
      </c>
      <c r="AM185" s="54">
        <v>1.0007400187826021</v>
      </c>
      <c r="AN185" s="54">
        <v>1.0000696796269071</v>
      </c>
    </row>
    <row r="186" spans="23:40" ht="24" customHeight="1">
      <c r="AJ186" s="54">
        <v>3.0390687853284502</v>
      </c>
      <c r="AK186" s="54">
        <v>3.0853740311362543</v>
      </c>
      <c r="AL186" s="54">
        <v>3.8378514194458591</v>
      </c>
      <c r="AM186" s="54">
        <v>2.9992599812173975</v>
      </c>
      <c r="AN186" s="54">
        <v>2.9999303203730929</v>
      </c>
    </row>
    <row r="187" spans="23:40" ht="24" customHeight="1">
      <c r="AJ187" s="55">
        <v>4.1172063559853491</v>
      </c>
      <c r="AK187" s="55">
        <v>4.256122093408762</v>
      </c>
      <c r="AL187" s="55">
        <v>6.5135542583375763</v>
      </c>
      <c r="AM187" s="55">
        <v>4</v>
      </c>
      <c r="AN187" s="55">
        <v>4</v>
      </c>
    </row>
    <row r="188" spans="23:40" ht="24" customHeight="1">
      <c r="AJ188" s="1" t="s">
        <v>2</v>
      </c>
      <c r="AK188" s="1" t="s">
        <v>2</v>
      </c>
      <c r="AL188" s="1" t="s">
        <v>2</v>
      </c>
      <c r="AM188" s="1" t="s">
        <v>2</v>
      </c>
      <c r="AN188" s="1" t="s">
        <v>2</v>
      </c>
    </row>
    <row r="189" spans="23:40" ht="24" customHeight="1">
      <c r="W189" s="6" t="s">
        <v>70</v>
      </c>
      <c r="AJ189" s="6" t="s">
        <v>71</v>
      </c>
    </row>
    <row r="190" spans="23:40" ht="24" customHeight="1">
      <c r="W190" s="38">
        <v>1</v>
      </c>
      <c r="X190" s="38">
        <v>0</v>
      </c>
      <c r="Y190" s="38">
        <v>1</v>
      </c>
      <c r="Z190" s="38">
        <v>0</v>
      </c>
      <c r="AA190" s="38">
        <v>0</v>
      </c>
      <c r="AB190" s="38">
        <v>1</v>
      </c>
      <c r="AC190" s="38">
        <v>0</v>
      </c>
      <c r="AD190" s="38">
        <v>0</v>
      </c>
      <c r="AE190" s="38">
        <v>0</v>
      </c>
      <c r="AF190" s="38">
        <v>0</v>
      </c>
      <c r="AG190" s="38">
        <v>-1</v>
      </c>
      <c r="AH190" s="38">
        <v>0</v>
      </c>
      <c r="AI190" s="1" t="s">
        <v>5</v>
      </c>
      <c r="AJ190" s="10" cm="1">
        <f t="array" ref="AJ190:AN199">MMULT(W190:AH199,AJ176:AN187)</f>
        <v>4.960803309848723</v>
      </c>
      <c r="AK190" s="10">
        <v>4.9131199161910875</v>
      </c>
      <c r="AL190" s="10">
        <v>4.1557617503142463</v>
      </c>
      <c r="AM190" s="10">
        <v>2.7275501478645765</v>
      </c>
      <c r="AN190" s="10">
        <v>2.9996509659290598</v>
      </c>
    </row>
    <row r="191" spans="23:40" ht="24" customHeight="1">
      <c r="W191" s="38">
        <v>0</v>
      </c>
      <c r="X191" s="38">
        <v>0</v>
      </c>
      <c r="Y191" s="38">
        <v>0</v>
      </c>
      <c r="Z191" s="38">
        <v>0</v>
      </c>
      <c r="AA191" s="38">
        <v>1</v>
      </c>
      <c r="AB191" s="38">
        <v>0</v>
      </c>
      <c r="AC191" s="38">
        <v>0</v>
      </c>
      <c r="AD191" s="38">
        <v>0</v>
      </c>
      <c r="AE191" s="38">
        <v>0</v>
      </c>
      <c r="AF191" s="38">
        <v>0</v>
      </c>
      <c r="AG191" s="38">
        <v>0</v>
      </c>
      <c r="AH191" s="38">
        <v>0</v>
      </c>
      <c r="AI191" s="1" t="s">
        <v>5</v>
      </c>
      <c r="AJ191" s="11">
        <v>1.0000010104640837</v>
      </c>
      <c r="AK191" s="11">
        <v>1.0000145233501221</v>
      </c>
      <c r="AL191" s="11">
        <v>1.0000097268457822</v>
      </c>
      <c r="AM191" s="11">
        <v>1.7268101290819735</v>
      </c>
      <c r="AN191" s="11">
        <v>1.9995812863021529</v>
      </c>
    </row>
    <row r="192" spans="23:40" ht="24" customHeight="1">
      <c r="W192" s="38">
        <v>0</v>
      </c>
      <c r="X192" s="38">
        <v>0</v>
      </c>
      <c r="Y192" s="38">
        <v>-1</v>
      </c>
      <c r="Z192" s="38">
        <v>0</v>
      </c>
      <c r="AA192" s="38">
        <v>0</v>
      </c>
      <c r="AB192" s="38">
        <v>1</v>
      </c>
      <c r="AC192" s="38">
        <v>0</v>
      </c>
      <c r="AD192" s="38">
        <v>1</v>
      </c>
      <c r="AE192" s="38">
        <v>-1</v>
      </c>
      <c r="AF192" s="38">
        <v>0</v>
      </c>
      <c r="AG192" s="38">
        <v>0</v>
      </c>
      <c r="AH192" s="38">
        <v>0</v>
      </c>
      <c r="AI192" s="1" t="s">
        <v>5</v>
      </c>
      <c r="AJ192" s="11">
        <v>-7.8092072734386564E-2</v>
      </c>
      <c r="AK192" s="11">
        <v>-0.17020489522294335</v>
      </c>
      <c r="AL192" s="11">
        <v>-1.6735463360820364</v>
      </c>
      <c r="AM192" s="11">
        <v>2.4064954167384633</v>
      </c>
      <c r="AN192" s="11">
        <v>2.9921323607641575</v>
      </c>
    </row>
    <row r="193" spans="23:108" ht="24" customHeight="1">
      <c r="W193" s="38">
        <v>0</v>
      </c>
      <c r="X193" s="38">
        <v>0</v>
      </c>
      <c r="Y193" s="38">
        <v>0</v>
      </c>
      <c r="Z193" s="38">
        <v>1</v>
      </c>
      <c r="AA193" s="38">
        <v>1</v>
      </c>
      <c r="AB193" s="38">
        <v>0</v>
      </c>
      <c r="AC193" s="38">
        <v>0</v>
      </c>
      <c r="AD193" s="38">
        <v>1</v>
      </c>
      <c r="AE193" s="38">
        <v>0</v>
      </c>
      <c r="AF193" s="38">
        <v>0</v>
      </c>
      <c r="AG193" s="38">
        <v>1</v>
      </c>
      <c r="AH193" s="38">
        <v>1</v>
      </c>
      <c r="AI193" s="1" t="s">
        <v>5</v>
      </c>
      <c r="AJ193" s="11">
        <v>19.1561487521871</v>
      </c>
      <c r="AK193" s="11">
        <v>19.340011856897544</v>
      </c>
      <c r="AL193" s="11">
        <v>22.345033437812212</v>
      </c>
      <c r="AM193" s="11">
        <v>16.726070110299371</v>
      </c>
      <c r="AN193" s="11">
        <v>16.999511606675245</v>
      </c>
    </row>
    <row r="194" spans="23:108" ht="24" customHeight="1">
      <c r="W194" s="38">
        <v>0</v>
      </c>
      <c r="X194" s="38">
        <v>0</v>
      </c>
      <c r="Y194" s="38">
        <v>-1</v>
      </c>
      <c r="Z194" s="38">
        <v>1</v>
      </c>
      <c r="AA194" s="38">
        <v>0</v>
      </c>
      <c r="AB194" s="38">
        <v>1</v>
      </c>
      <c r="AC194" s="38">
        <v>1</v>
      </c>
      <c r="AD194" s="38">
        <v>1</v>
      </c>
      <c r="AE194" s="38">
        <v>-1</v>
      </c>
      <c r="AF194" s="38">
        <v>-1</v>
      </c>
      <c r="AG194" s="38">
        <v>0</v>
      </c>
      <c r="AH194" s="38">
        <v>1</v>
      </c>
      <c r="AI194" s="1" t="s">
        <v>5</v>
      </c>
      <c r="AJ194" s="11">
        <v>12.960848302539194</v>
      </c>
      <c r="AK194" s="11">
        <v>12.913655821565591</v>
      </c>
      <c r="AL194" s="11">
        <v>12.157913389701037</v>
      </c>
      <c r="AM194" s="11">
        <v>11.678945268873887</v>
      </c>
      <c r="AN194" s="11">
        <v>11.992481394835096</v>
      </c>
    </row>
    <row r="195" spans="23:108" ht="24" customHeight="1">
      <c r="W195" s="38">
        <v>1</v>
      </c>
      <c r="X195" s="38">
        <v>0</v>
      </c>
      <c r="Y195" s="38">
        <v>0</v>
      </c>
      <c r="Z195" s="38">
        <v>0</v>
      </c>
      <c r="AA195" s="38">
        <v>0</v>
      </c>
      <c r="AB195" s="38">
        <v>0</v>
      </c>
      <c r="AC195" s="38">
        <v>-1</v>
      </c>
      <c r="AD195" s="38">
        <v>1</v>
      </c>
      <c r="AE195" s="38">
        <v>0</v>
      </c>
      <c r="AF195" s="38">
        <v>-1</v>
      </c>
      <c r="AG195" s="38">
        <v>0</v>
      </c>
      <c r="AH195" s="38">
        <v>1</v>
      </c>
      <c r="AI195" s="1" t="s">
        <v>5</v>
      </c>
      <c r="AJ195" s="11">
        <v>7.0389838522679264</v>
      </c>
      <c r="AK195" s="11">
        <v>7.0843748371378554</v>
      </c>
      <c r="AL195" s="11">
        <v>7.8335967749011903</v>
      </c>
      <c r="AM195" s="11">
        <v>6.4064954167384629</v>
      </c>
      <c r="AN195" s="11">
        <v>6.9921323607641561</v>
      </c>
    </row>
    <row r="196" spans="23:108" ht="24" customHeight="1">
      <c r="W196" s="38">
        <v>0</v>
      </c>
      <c r="X196" s="38">
        <v>-1</v>
      </c>
      <c r="Y196" s="38">
        <v>-1</v>
      </c>
      <c r="Z196" s="38">
        <v>0</v>
      </c>
      <c r="AA196" s="38">
        <v>1</v>
      </c>
      <c r="AB196" s="38">
        <v>1</v>
      </c>
      <c r="AC196" s="38">
        <v>0</v>
      </c>
      <c r="AD196" s="38">
        <v>1</v>
      </c>
      <c r="AE196" s="38">
        <v>-1</v>
      </c>
      <c r="AF196" s="38">
        <v>0</v>
      </c>
      <c r="AG196" s="38">
        <v>0</v>
      </c>
      <c r="AH196" s="38">
        <v>0</v>
      </c>
      <c r="AI196" s="1" t="s">
        <v>5</v>
      </c>
      <c r="AJ196" s="11">
        <v>-2.0780051187456943</v>
      </c>
      <c r="AK196" s="11">
        <v>-2.1691766545243012</v>
      </c>
      <c r="AL196" s="11">
        <v>-3.6692722378458034</v>
      </c>
      <c r="AM196" s="11">
        <v>2.4528802393813449</v>
      </c>
      <c r="AN196" s="11">
        <v>2.9990928929773992</v>
      </c>
    </row>
    <row r="197" spans="23:108" ht="24" customHeight="1">
      <c r="W197" s="38">
        <v>0</v>
      </c>
      <c r="X197" s="38">
        <v>0</v>
      </c>
      <c r="Y197" s="38">
        <v>0</v>
      </c>
      <c r="Z197" s="38">
        <v>1</v>
      </c>
      <c r="AA197" s="38">
        <v>1</v>
      </c>
      <c r="AB197" s="38">
        <v>1</v>
      </c>
      <c r="AC197" s="38">
        <v>1</v>
      </c>
      <c r="AD197" s="38">
        <v>1</v>
      </c>
      <c r="AE197" s="38">
        <v>0</v>
      </c>
      <c r="AF197" s="38">
        <v>1</v>
      </c>
      <c r="AG197" s="38">
        <v>1</v>
      </c>
      <c r="AH197" s="38">
        <v>1</v>
      </c>
      <c r="AI197" s="1" t="s">
        <v>5</v>
      </c>
      <c r="AJ197" s="11">
        <v>24.234287838540123</v>
      </c>
      <c r="AK197" s="11">
        <v>24.510781704195235</v>
      </c>
      <c r="AL197" s="11">
        <v>29.020750866972605</v>
      </c>
      <c r="AM197" s="11">
        <v>21.726810129081976</v>
      </c>
      <c r="AN197" s="11">
        <v>21.999581286302153</v>
      </c>
    </row>
    <row r="198" spans="23:108" ht="24" customHeight="1">
      <c r="W198" s="38">
        <v>0</v>
      </c>
      <c r="X198" s="38">
        <v>0</v>
      </c>
      <c r="Y198" s="38">
        <v>1</v>
      </c>
      <c r="Z198" s="38">
        <v>1</v>
      </c>
      <c r="AA198" s="38">
        <v>0</v>
      </c>
      <c r="AB198" s="38">
        <v>1</v>
      </c>
      <c r="AC198" s="38">
        <v>1</v>
      </c>
      <c r="AD198" s="38">
        <v>1</v>
      </c>
      <c r="AE198" s="38">
        <v>-1</v>
      </c>
      <c r="AF198" s="38">
        <v>1</v>
      </c>
      <c r="AG198" s="38">
        <v>0</v>
      </c>
      <c r="AH198" s="38">
        <v>1</v>
      </c>
      <c r="AI198" s="1" t="s">
        <v>5</v>
      </c>
      <c r="AJ198" s="11">
        <v>23.117037500328387</v>
      </c>
      <c r="AK198" s="11">
        <v>23.254138228762091</v>
      </c>
      <c r="AL198" s="11">
        <v>25.505054696094021</v>
      </c>
      <c r="AM198" s="11">
        <v>18.319574693560909</v>
      </c>
      <c r="AN198" s="11">
        <v>18.007379245911089</v>
      </c>
    </row>
    <row r="199" spans="23:108" ht="24" customHeight="1">
      <c r="W199" s="38">
        <v>1</v>
      </c>
      <c r="X199" s="38">
        <v>0</v>
      </c>
      <c r="Y199" s="38">
        <v>0</v>
      </c>
      <c r="Z199" s="38">
        <v>-1</v>
      </c>
      <c r="AA199" s="38">
        <v>0</v>
      </c>
      <c r="AB199" s="38">
        <v>0</v>
      </c>
      <c r="AC199" s="38">
        <v>-1</v>
      </c>
      <c r="AD199" s="38">
        <v>1</v>
      </c>
      <c r="AE199" s="38">
        <v>0</v>
      </c>
      <c r="AF199" s="38">
        <v>-1</v>
      </c>
      <c r="AG199" s="38">
        <v>0</v>
      </c>
      <c r="AH199" s="38">
        <v>1</v>
      </c>
      <c r="AI199" s="1" t="s">
        <v>5</v>
      </c>
      <c r="AJ199" s="12">
        <v>3.9112767554836836E-2</v>
      </c>
      <c r="AK199" s="12">
        <v>8.5895413160634426E-2</v>
      </c>
      <c r="AL199" s="12">
        <v>0.83999333198686621</v>
      </c>
      <c r="AM199" s="12">
        <v>2.4064954167384625</v>
      </c>
      <c r="AN199" s="12">
        <v>2.9921323607641557</v>
      </c>
    </row>
    <row r="202" spans="23:108" ht="24" customHeight="1">
      <c r="DD202" t="s">
        <v>72</v>
      </c>
    </row>
  </sheetData>
  <conditionalFormatting sqref="AF79 Y19 AC2:AC13">
    <cfRule type="colorScale" priority="76">
      <colorScale>
        <cfvo type="num" val="-1"/>
        <cfvo type="num" val="0"/>
        <cfvo type="num" val="1"/>
        <color rgb="FF5A8AC6"/>
        <color rgb="FFFCFCFF"/>
        <color rgb="FFF8696B"/>
      </colorScale>
    </cfRule>
  </conditionalFormatting>
  <conditionalFormatting sqref="AY7:BC18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Y27:BC38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Y39:BC39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Y99:BC110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Y128:BC139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Y157:BC16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P15:BP17">
    <cfRule type="dataBar" priority="6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{7A9494B6-E698-BE49-AA5E-3F6146E3EDC4}</x14:id>
        </ext>
      </extLst>
    </cfRule>
  </conditionalFormatting>
  <conditionalFormatting sqref="BQ15:BQ17">
    <cfRule type="dataBar" priority="6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{A0684562-2F97-6741-B79A-93FA18622A73}</x14:id>
        </ext>
      </extLst>
    </cfRule>
  </conditionalFormatting>
  <conditionalFormatting sqref="BU47:BY51">
    <cfRule type="expression" dxfId="8" priority="58">
      <formula>BU47&lt;-50</formula>
    </cfRule>
  </conditionalFormatting>
  <conditionalFormatting sqref="BV74:BY78">
    <cfRule type="expression" dxfId="7" priority="57">
      <formula>BV74&lt;-50</formula>
    </cfRule>
  </conditionalFormatting>
  <conditionalFormatting sqref="CA47:CE51">
    <cfRule type="expression" dxfId="6" priority="56">
      <formula>CA47&lt;-50</formula>
    </cfRule>
  </conditionalFormatting>
  <conditionalFormatting sqref="CG47:CK51">
    <cfRule type="expression" dxfId="5" priority="55" stopIfTrue="1">
      <formula>CG47&lt;=2</formula>
    </cfRule>
  </conditionalFormatting>
  <conditionalFormatting sqref="CL78:CL82">
    <cfRule type="expression" dxfId="4" priority="40">
      <formula>CL78&lt;-50</formula>
    </cfRule>
  </conditionalFormatting>
  <conditionalFormatting sqref="CM47:CQ51">
    <cfRule type="expression" dxfId="3" priority="59">
      <formula>CM47&lt;-50</formula>
    </cfRule>
  </conditionalFormatting>
  <conditionalFormatting sqref="CM101:CQ105">
    <cfRule type="expression" dxfId="2" priority="60">
      <formula>CM101&lt;-50</formula>
    </cfRule>
  </conditionalFormatting>
  <conditionalFormatting sqref="CM130:CQ134">
    <cfRule type="expression" dxfId="1" priority="9">
      <formula>CM130&lt;-50</formula>
    </cfRule>
  </conditionalFormatting>
  <conditionalFormatting sqref="CM159:CQ163">
    <cfRule type="expression" dxfId="0" priority="2">
      <formula>CM159&lt;-50</formula>
    </cfRule>
  </conditionalFormatting>
  <conditionalFormatting sqref="CS101:CS105">
    <cfRule type="dataBar" priority="7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{387C0B03-0BC7-F846-B730-D10811822604}</x14:id>
        </ext>
      </extLst>
    </cfRule>
  </conditionalFormatting>
  <conditionalFormatting sqref="CS130:CS134">
    <cfRule type="dataBar" priority="1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{2BAD32AA-0784-EE4A-858F-CD8045BB15EC}</x14:id>
        </ext>
      </extLst>
    </cfRule>
  </conditionalFormatting>
  <conditionalFormatting sqref="CS159:CS163">
    <cfRule type="dataBar" priority="7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{F8822381-F596-F24C-BA60-067B52DDBC83}</x14:id>
        </ext>
      </extLst>
    </cfRule>
  </conditionalFormatting>
  <conditionalFormatting sqref="CT101:CT105">
    <cfRule type="dataBar" priority="7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{2ED0F839-238D-4C40-9F48-72B083249830}</x14:id>
        </ext>
      </extLst>
    </cfRule>
  </conditionalFormatting>
  <conditionalFormatting sqref="CT130:CT134">
    <cfRule type="dataBar" priority="1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{F4037E42-EB36-734A-AD31-933FFA245CB6}</x14:id>
        </ext>
      </extLst>
    </cfRule>
  </conditionalFormatting>
  <conditionalFormatting sqref="CT159:CT163">
    <cfRule type="dataBar" priority="6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{793AEC3C-890A-BF49-A36B-E31C376AEF20}</x14:id>
        </ext>
      </extLst>
    </cfRule>
  </conditionalFormatting>
  <conditionalFormatting sqref="CU101:CU105">
    <cfRule type="dataBar" priority="7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{DD4FD74B-7D8F-B240-B0A1-5BF1D990056D}</x14:id>
        </ext>
      </extLst>
    </cfRule>
  </conditionalFormatting>
  <conditionalFormatting sqref="CU130:CU134">
    <cfRule type="dataBar" priority="1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{BE389A39-772E-E94E-A62A-20CA08FE4548}</x14:id>
        </ext>
      </extLst>
    </cfRule>
  </conditionalFormatting>
  <conditionalFormatting sqref="CU159:CU163">
    <cfRule type="dataBar" priority="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{1C3AF4F1-5531-F144-BCC4-E30F5195EEDB}</x14:id>
        </ext>
      </extLst>
    </cfRule>
  </conditionalFormatting>
  <conditionalFormatting sqref="CV101:CV105">
    <cfRule type="dataBar" priority="7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{99A9D734-938B-044D-B78D-F13B6705DB4E}</x14:id>
        </ext>
      </extLst>
    </cfRule>
  </conditionalFormatting>
  <conditionalFormatting sqref="CV130:CV134">
    <cfRule type="dataBar" priority="1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{FA62341D-E147-F146-B6ED-E4881635191A}</x14:id>
        </ext>
      </extLst>
    </cfRule>
  </conditionalFormatting>
  <conditionalFormatting sqref="CV159:CV163">
    <cfRule type="dataBar" priority="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{B9DCC2E9-04D7-1A40-8541-C38706773FC9}</x14:id>
        </ext>
      </extLst>
    </cfRule>
  </conditionalFormatting>
  <conditionalFormatting sqref="CW101:CW105">
    <cfRule type="dataBar" priority="7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{20875B92-71F9-2D43-928F-A9DC2FD663C4}</x14:id>
        </ext>
      </extLst>
    </cfRule>
  </conditionalFormatting>
  <conditionalFormatting sqref="CW130:CW134">
    <cfRule type="dataBar" priority="10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{D0A5E293-126C-C749-B083-A0ECB72FA5CB}</x14:id>
        </ext>
      </extLst>
    </cfRule>
  </conditionalFormatting>
  <conditionalFormatting sqref="CW159:CW163">
    <cfRule type="dataBar" priority="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{067034A4-8879-FE48-83C5-E127A2F677C1}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9494B6-E698-BE49-AA5E-3F6146E3ED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BP15:BP17</xm:sqref>
        </x14:conditionalFormatting>
        <x14:conditionalFormatting xmlns:xm="http://schemas.microsoft.com/office/excel/2006/main">
          <x14:cfRule type="dataBar" id="{A0684562-2F97-6741-B79A-93FA18622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BQ15:BQ17</xm:sqref>
        </x14:conditionalFormatting>
        <x14:conditionalFormatting xmlns:xm="http://schemas.microsoft.com/office/excel/2006/main">
          <x14:cfRule type="dataBar" id="{387C0B03-0BC7-F846-B730-D108118226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CS101:CS105</xm:sqref>
        </x14:conditionalFormatting>
        <x14:conditionalFormatting xmlns:xm="http://schemas.microsoft.com/office/excel/2006/main">
          <x14:cfRule type="dataBar" id="{2BAD32AA-0784-EE4A-858F-CD8045BB15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CS130:CS134</xm:sqref>
        </x14:conditionalFormatting>
        <x14:conditionalFormatting xmlns:xm="http://schemas.microsoft.com/office/excel/2006/main">
          <x14:cfRule type="dataBar" id="{F8822381-F596-F24C-BA60-067B52DDBC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CS159:CS163</xm:sqref>
        </x14:conditionalFormatting>
        <x14:conditionalFormatting xmlns:xm="http://schemas.microsoft.com/office/excel/2006/main">
          <x14:cfRule type="dataBar" id="{2ED0F839-238D-4C40-9F48-72B0832498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CT101:CT105</xm:sqref>
        </x14:conditionalFormatting>
        <x14:conditionalFormatting xmlns:xm="http://schemas.microsoft.com/office/excel/2006/main">
          <x14:cfRule type="dataBar" id="{F4037E42-EB36-734A-AD31-933FFA245C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CT130:CT134</xm:sqref>
        </x14:conditionalFormatting>
        <x14:conditionalFormatting xmlns:xm="http://schemas.microsoft.com/office/excel/2006/main">
          <x14:cfRule type="dataBar" id="{793AEC3C-890A-BF49-A36B-E31C376AEF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CT159:CT163</xm:sqref>
        </x14:conditionalFormatting>
        <x14:conditionalFormatting xmlns:xm="http://schemas.microsoft.com/office/excel/2006/main">
          <x14:cfRule type="dataBar" id="{DD4FD74B-7D8F-B240-B0A1-5BF1D99005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CU101:CU105</xm:sqref>
        </x14:conditionalFormatting>
        <x14:conditionalFormatting xmlns:xm="http://schemas.microsoft.com/office/excel/2006/main">
          <x14:cfRule type="dataBar" id="{BE389A39-772E-E94E-A62A-20CA08FE45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CU130:CU134</xm:sqref>
        </x14:conditionalFormatting>
        <x14:conditionalFormatting xmlns:xm="http://schemas.microsoft.com/office/excel/2006/main">
          <x14:cfRule type="dataBar" id="{1C3AF4F1-5531-F144-BCC4-E30F5195EE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CU159:CU163</xm:sqref>
        </x14:conditionalFormatting>
        <x14:conditionalFormatting xmlns:xm="http://schemas.microsoft.com/office/excel/2006/main">
          <x14:cfRule type="dataBar" id="{99A9D734-938B-044D-B78D-F13B6705DB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CV101:CV105</xm:sqref>
        </x14:conditionalFormatting>
        <x14:conditionalFormatting xmlns:xm="http://schemas.microsoft.com/office/excel/2006/main">
          <x14:cfRule type="dataBar" id="{FA62341D-E147-F146-B6ED-E488163519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CV130:CV134</xm:sqref>
        </x14:conditionalFormatting>
        <x14:conditionalFormatting xmlns:xm="http://schemas.microsoft.com/office/excel/2006/main">
          <x14:cfRule type="dataBar" id="{B9DCC2E9-04D7-1A40-8541-C38706773F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CV159:CV163</xm:sqref>
        </x14:conditionalFormatting>
        <x14:conditionalFormatting xmlns:xm="http://schemas.microsoft.com/office/excel/2006/main">
          <x14:cfRule type="dataBar" id="{20875B92-71F9-2D43-928F-A9DC2FD663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CW101:CW105</xm:sqref>
        </x14:conditionalFormatting>
        <x14:conditionalFormatting xmlns:xm="http://schemas.microsoft.com/office/excel/2006/main">
          <x14:cfRule type="dataBar" id="{D0A5E293-126C-C749-B083-A0ECB72FA5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CW130:CW134</xm:sqref>
        </x14:conditionalFormatting>
        <x14:conditionalFormatting xmlns:xm="http://schemas.microsoft.com/office/excel/2006/main">
          <x14:cfRule type="dataBar" id="{067034A4-8879-FE48-83C5-E127A2F677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CW159:CW163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EDC4-C82D-904C-8C78-D47D2CC55162}">
  <dimension ref="A1:A22"/>
  <sheetViews>
    <sheetView tabSelected="1" workbookViewId="0">
      <selection sqref="A1:A1048576"/>
    </sheetView>
  </sheetViews>
  <sheetFormatPr defaultColWidth="11" defaultRowHeight="15.75"/>
  <cols>
    <col min="1" max="1" width="100.625" customWidth="1"/>
  </cols>
  <sheetData>
    <row r="1" spans="1:1" ht="17.25">
      <c r="A1" s="59" t="s">
        <v>73</v>
      </c>
    </row>
    <row r="2" spans="1:1">
      <c r="A2" s="56" t="s">
        <v>74</v>
      </c>
    </row>
    <row r="3" spans="1:1">
      <c r="A3" s="56"/>
    </row>
    <row r="4" spans="1:1" ht="30.75">
      <c r="A4" s="56" t="s">
        <v>75</v>
      </c>
    </row>
    <row r="5" spans="1:1">
      <c r="A5" s="57"/>
    </row>
    <row r="6" spans="1:1">
      <c r="A6" s="58" t="s">
        <v>76</v>
      </c>
    </row>
    <row r="7" spans="1:1" ht="30.75">
      <c r="A7" s="56" t="s">
        <v>77</v>
      </c>
    </row>
    <row r="8" spans="1:1" ht="30.75">
      <c r="A8" s="56" t="s">
        <v>78</v>
      </c>
    </row>
    <row r="9" spans="1:1">
      <c r="A9" s="56"/>
    </row>
    <row r="10" spans="1:1">
      <c r="A10" s="58" t="s">
        <v>79</v>
      </c>
    </row>
    <row r="11" spans="1:1" ht="30.75">
      <c r="A11" s="56" t="s">
        <v>80</v>
      </c>
    </row>
    <row r="12" spans="1:1">
      <c r="A12" s="56" t="s">
        <v>81</v>
      </c>
    </row>
    <row r="13" spans="1:1" ht="30.75">
      <c r="A13" s="56" t="s">
        <v>82</v>
      </c>
    </row>
    <row r="14" spans="1:1">
      <c r="A14" s="56"/>
    </row>
    <row r="15" spans="1:1">
      <c r="A15" s="58" t="s">
        <v>83</v>
      </c>
    </row>
    <row r="16" spans="1:1" ht="30.75">
      <c r="A16" s="56" t="s">
        <v>84</v>
      </c>
    </row>
    <row r="17" spans="1:1">
      <c r="A17" s="56"/>
    </row>
    <row r="18" spans="1:1">
      <c r="A18" s="58" t="s">
        <v>85</v>
      </c>
    </row>
    <row r="19" spans="1:1" ht="30.75">
      <c r="A19" s="56" t="s">
        <v>86</v>
      </c>
    </row>
    <row r="20" spans="1:1">
      <c r="A20" s="56"/>
    </row>
    <row r="21" spans="1:1">
      <c r="A21" s="58" t="s">
        <v>87</v>
      </c>
    </row>
    <row r="22" spans="1:1" ht="30.75">
      <c r="A22" s="56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AE0F2B5EBCEB4F8CB172B7509ABF25" ma:contentTypeVersion="3" ma:contentTypeDescription="Create a new document." ma:contentTypeScope="" ma:versionID="6f92b7df4294889247471a48251d14bd">
  <xsd:schema xmlns:xsd="http://www.w3.org/2001/XMLSchema" xmlns:xs="http://www.w3.org/2001/XMLSchema" xmlns:p="http://schemas.microsoft.com/office/2006/metadata/properties" xmlns:ns2="26372ae8-d030-4186-ab47-23336b55dcf4" targetNamespace="http://schemas.microsoft.com/office/2006/metadata/properties" ma:root="true" ma:fieldsID="677182a02ccc9cf4e14791d6472a5431" ns2:_="">
    <xsd:import namespace="26372ae8-d030-4186-ab47-23336b55dc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72ae8-d030-4186-ab47-23336b55d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0D41DC-A408-4A68-AED2-4BF63D54F09F}"/>
</file>

<file path=customXml/itemProps2.xml><?xml version="1.0" encoding="utf-8"?>
<ds:datastoreItem xmlns:ds="http://schemas.openxmlformats.org/officeDocument/2006/customXml" ds:itemID="{12C71E0C-B180-4BAB-8430-633EE7F0B929}"/>
</file>

<file path=customXml/itemProps3.xml><?xml version="1.0" encoding="utf-8"?>
<ds:datastoreItem xmlns:ds="http://schemas.openxmlformats.org/officeDocument/2006/customXml" ds:itemID="{C445DEAD-B4F5-4D08-AA88-A252DADDA446}"/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/>
  <cp:revision/>
  <dcterms:created xsi:type="dcterms:W3CDTF">2025-10-06T21:08:37Z</dcterms:created>
  <dcterms:modified xsi:type="dcterms:W3CDTF">2026-03-17T23:51:41Z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0x01010046AE0F2B5EBCEB4F8CB172B7509ABF25</vt:lpwstr>
  </property>
</Properties>
</file>